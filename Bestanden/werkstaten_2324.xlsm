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C80E003A-6C80-AF87-3323-10F97C11A349}"/>
  <workbookPr codeName="ThisWorkbook"/>
  <mc:AlternateContent xmlns:mc="http://schemas.openxmlformats.org/markup-compatibility/2006">
    <mc:Choice Requires="x15">
      <x15ac:absPath xmlns:x15ac="http://schemas.microsoft.com/office/spreadsheetml/2010/11/ac" url="C:\Users\mudas\Documents\GitHub\Rickmuda-portfolio-remix\Bestanden\"/>
    </mc:Choice>
  </mc:AlternateContent>
  <xr:revisionPtr revIDLastSave="0" documentId="13_ncr:1_{4F760AC7-CC13-4756-8138-75C703351C43}" xr6:coauthVersionLast="47" xr6:coauthVersionMax="47" xr10:uidLastSave="{00000000-0000-0000-0000-000000000000}"/>
  <bookViews>
    <workbookView xWindow="-110" yWindow="-110" windowWidth="38620" windowHeight="21820" tabRatio="998" activeTab="11" xr2:uid="{00000000-000D-0000-FFFF-FFFF00000000}"/>
  </bookViews>
  <sheets>
    <sheet name="Algemeen" sheetId="1" r:id="rId1"/>
    <sheet name="Werkstaat 1" sheetId="2" r:id="rId2"/>
    <sheet name="Werkstaat 2" sheetId="3" r:id="rId3"/>
    <sheet name="Werkstaat 3" sheetId="4" r:id="rId4"/>
    <sheet name="Werkstaat 4" sheetId="5" r:id="rId5"/>
    <sheet name="Werkstaat 5" sheetId="6" r:id="rId6"/>
    <sheet name="Werkstaat 6" sheetId="7" r:id="rId7"/>
    <sheet name="Werkstaat 7" sheetId="8" r:id="rId8"/>
    <sheet name="Werkstaat 8" sheetId="9" r:id="rId9"/>
    <sheet name="Werkstaat 9" sheetId="10" r:id="rId10"/>
    <sheet name="Werkstaat 10" sheetId="11" r:id="rId11"/>
    <sheet name="Werkstaat 11" sheetId="12" r:id="rId12"/>
    <sheet name="Werkstaat 12" sheetId="13" r:id="rId1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2" l="1"/>
  <c r="F3" i="2"/>
  <c r="B4" i="2"/>
  <c r="F4" i="2"/>
  <c r="B5" i="2"/>
  <c r="F5" i="2"/>
  <c r="B6" i="2"/>
  <c r="E2" i="2" s="1"/>
  <c r="F6" i="2"/>
  <c r="B7" i="2"/>
  <c r="G2" i="2" s="1"/>
  <c r="F7" i="2"/>
  <c r="D21" i="2"/>
  <c r="H21" i="2" s="1"/>
  <c r="D22" i="2"/>
  <c r="H22" i="2" s="1"/>
  <c r="D23" i="2"/>
  <c r="H23" i="2" s="1"/>
  <c r="D24" i="2"/>
  <c r="H24" i="2" s="1"/>
  <c r="B3" i="11"/>
  <c r="F3" i="11"/>
  <c r="B4" i="11"/>
  <c r="F4" i="11"/>
  <c r="B5" i="11"/>
  <c r="F5" i="11"/>
  <c r="B6" i="11"/>
  <c r="E2" i="11" s="1"/>
  <c r="F6" i="11"/>
  <c r="B7" i="11"/>
  <c r="G2" i="11" s="1"/>
  <c r="F7" i="11"/>
  <c r="D21" i="11"/>
  <c r="D22" i="11"/>
  <c r="D23" i="11"/>
  <c r="D24" i="11"/>
  <c r="B3" i="12"/>
  <c r="F3" i="12"/>
  <c r="B4" i="12"/>
  <c r="F4" i="12"/>
  <c r="B5" i="12"/>
  <c r="F5" i="12"/>
  <c r="B6" i="12"/>
  <c r="B11" i="12" s="1"/>
  <c r="B13" i="12" s="1"/>
  <c r="B15" i="12" s="1"/>
  <c r="F6" i="12"/>
  <c r="B7" i="12"/>
  <c r="G2" i="12" s="1"/>
  <c r="F7" i="12"/>
  <c r="D21" i="12"/>
  <c r="D22" i="12"/>
  <c r="D23" i="12"/>
  <c r="D24" i="12"/>
  <c r="B3" i="13"/>
  <c r="F3" i="13"/>
  <c r="B4" i="13"/>
  <c r="F4" i="13"/>
  <c r="B5" i="13"/>
  <c r="F5" i="13"/>
  <c r="B6" i="13"/>
  <c r="B11" i="13" s="1"/>
  <c r="F6" i="13"/>
  <c r="B7" i="13"/>
  <c r="G2" i="13" s="1"/>
  <c r="F7" i="13"/>
  <c r="D21" i="13"/>
  <c r="D22" i="13"/>
  <c r="D23" i="13"/>
  <c r="D24" i="13"/>
  <c r="B3" i="3"/>
  <c r="F3" i="3"/>
  <c r="B4" i="3"/>
  <c r="F4" i="3"/>
  <c r="B5" i="3"/>
  <c r="F5" i="3"/>
  <c r="B6" i="3"/>
  <c r="B11" i="3" s="1"/>
  <c r="F6" i="3"/>
  <c r="B7" i="3"/>
  <c r="G2" i="3" s="1"/>
  <c r="F7" i="3"/>
  <c r="D21" i="3"/>
  <c r="D22" i="3"/>
  <c r="D23" i="3"/>
  <c r="D24" i="3"/>
  <c r="B3" i="4"/>
  <c r="F3" i="4"/>
  <c r="B4" i="4"/>
  <c r="F4" i="4"/>
  <c r="B5" i="4"/>
  <c r="F5" i="4"/>
  <c r="B6" i="4"/>
  <c r="E2" i="4" s="1"/>
  <c r="F6" i="4"/>
  <c r="B7" i="4"/>
  <c r="G2" i="4" s="1"/>
  <c r="F7" i="4"/>
  <c r="D21" i="4"/>
  <c r="D22" i="4"/>
  <c r="D23" i="4"/>
  <c r="D24" i="4"/>
  <c r="B3" i="5"/>
  <c r="F3" i="5"/>
  <c r="B4" i="5"/>
  <c r="F4" i="5"/>
  <c r="B5" i="5"/>
  <c r="F5" i="5"/>
  <c r="B6" i="5"/>
  <c r="E2" i="5" s="1"/>
  <c r="F6" i="5"/>
  <c r="B7" i="5"/>
  <c r="G2" i="5" s="1"/>
  <c r="F7" i="5"/>
  <c r="D21" i="5"/>
  <c r="D22" i="5"/>
  <c r="D23" i="5"/>
  <c r="D24" i="5"/>
  <c r="B3" i="6"/>
  <c r="F3" i="6"/>
  <c r="B4" i="6"/>
  <c r="F4" i="6"/>
  <c r="B5" i="6"/>
  <c r="F5" i="6"/>
  <c r="B6" i="6"/>
  <c r="B11" i="6" s="1"/>
  <c r="B13" i="6" s="1"/>
  <c r="F6" i="6"/>
  <c r="B7" i="6"/>
  <c r="G2" i="6" s="1"/>
  <c r="F7" i="6"/>
  <c r="D21" i="6"/>
  <c r="D22" i="6"/>
  <c r="D23" i="6"/>
  <c r="D24" i="6"/>
  <c r="B3" i="7"/>
  <c r="F3" i="7"/>
  <c r="B4" i="7"/>
  <c r="F4" i="7"/>
  <c r="B5" i="7"/>
  <c r="F5" i="7"/>
  <c r="B6" i="7"/>
  <c r="B11" i="7" s="1"/>
  <c r="A11" i="7" s="1"/>
  <c r="F6" i="7"/>
  <c r="B7" i="7"/>
  <c r="G2" i="7" s="1"/>
  <c r="F7" i="7"/>
  <c r="D21" i="7"/>
  <c r="D22" i="7"/>
  <c r="D23" i="7"/>
  <c r="D24" i="7"/>
  <c r="B3" i="8"/>
  <c r="F3" i="8"/>
  <c r="B4" i="8"/>
  <c r="F4" i="8"/>
  <c r="B5" i="8"/>
  <c r="F5" i="8"/>
  <c r="B6" i="8"/>
  <c r="F6" i="8"/>
  <c r="B7" i="8"/>
  <c r="G2" i="8" s="1"/>
  <c r="F7" i="8"/>
  <c r="D21" i="8"/>
  <c r="D22" i="8"/>
  <c r="D23" i="8"/>
  <c r="D24" i="8"/>
  <c r="B3" i="9"/>
  <c r="F3" i="9"/>
  <c r="B4" i="9"/>
  <c r="F4" i="9"/>
  <c r="B5" i="9"/>
  <c r="F5" i="9"/>
  <c r="B6" i="9"/>
  <c r="B11" i="9" s="1"/>
  <c r="F6" i="9"/>
  <c r="B7" i="9"/>
  <c r="G2" i="9" s="1"/>
  <c r="F7" i="9"/>
  <c r="D21" i="9"/>
  <c r="D22" i="9"/>
  <c r="D23" i="9"/>
  <c r="D24" i="9"/>
  <c r="B3" i="10"/>
  <c r="F3" i="10"/>
  <c r="B4" i="10"/>
  <c r="F4" i="10"/>
  <c r="B5" i="10"/>
  <c r="F5" i="10"/>
  <c r="B6" i="10"/>
  <c r="E2" i="10" s="1"/>
  <c r="F6" i="10"/>
  <c r="B7" i="10"/>
  <c r="G2" i="10" s="1"/>
  <c r="F7" i="10"/>
  <c r="D21" i="10"/>
  <c r="D22" i="10"/>
  <c r="D23" i="10"/>
  <c r="D24" i="10"/>
  <c r="E2" i="13"/>
  <c r="B11" i="10" l="1"/>
  <c r="A11" i="10" s="1"/>
  <c r="H21" i="3"/>
  <c r="H21" i="4" s="1"/>
  <c r="H21" i="5" s="1"/>
  <c r="H21" i="6" s="1"/>
  <c r="H21" i="7" s="1"/>
  <c r="H21" i="8" s="1"/>
  <c r="H21" i="9" s="1"/>
  <c r="H21" i="10" s="1"/>
  <c r="H21" i="11" s="1"/>
  <c r="H21" i="12" s="1"/>
  <c r="H21" i="13" s="1"/>
  <c r="E2" i="6"/>
  <c r="E2" i="12"/>
  <c r="H22" i="3"/>
  <c r="H22" i="4" s="1"/>
  <c r="H22" i="5" s="1"/>
  <c r="H22" i="6" s="1"/>
  <c r="H22" i="7" s="1"/>
  <c r="H22" i="8" s="1"/>
  <c r="H22" i="9" s="1"/>
  <c r="H22" i="10" s="1"/>
  <c r="H22" i="11" s="1"/>
  <c r="H22" i="12" s="1"/>
  <c r="H22" i="13" s="1"/>
  <c r="E2" i="7"/>
  <c r="H24" i="3"/>
  <c r="H24" i="4" s="1"/>
  <c r="H24" i="5" s="1"/>
  <c r="H24" i="6" s="1"/>
  <c r="H24" i="7" s="1"/>
  <c r="H24" i="8" s="1"/>
  <c r="H24" i="9" s="1"/>
  <c r="H24" i="10" s="1"/>
  <c r="H24" i="11" s="1"/>
  <c r="H24" i="12" s="1"/>
  <c r="H24" i="13" s="1"/>
  <c r="H23" i="3"/>
  <c r="H23" i="4" s="1"/>
  <c r="H23" i="5" s="1"/>
  <c r="H23" i="6" s="1"/>
  <c r="H23" i="7" s="1"/>
  <c r="H23" i="8" s="1"/>
  <c r="H23" i="9" s="1"/>
  <c r="H23" i="10" s="1"/>
  <c r="H23" i="11" s="1"/>
  <c r="H23" i="12" s="1"/>
  <c r="H23" i="13" s="1"/>
  <c r="B11" i="2"/>
  <c r="A11" i="2" s="1"/>
  <c r="B11" i="11"/>
  <c r="B11" i="5"/>
  <c r="A11" i="5" s="1"/>
  <c r="E2" i="3"/>
  <c r="A13" i="6"/>
  <c r="B15" i="6"/>
  <c r="B11" i="4"/>
  <c r="B13" i="7"/>
  <c r="F11" i="7"/>
  <c r="A11" i="6"/>
  <c r="F11" i="12"/>
  <c r="F13" i="12" s="1"/>
  <c r="F11" i="6"/>
  <c r="B17" i="12"/>
  <c r="A15" i="12"/>
  <c r="A11" i="9"/>
  <c r="B13" i="9"/>
  <c r="A11" i="13"/>
  <c r="F11" i="13"/>
  <c r="B13" i="13"/>
  <c r="F11" i="10"/>
  <c r="A13" i="12"/>
  <c r="A11" i="12"/>
  <c r="E2" i="9"/>
  <c r="B13" i="10"/>
  <c r="F11" i="9"/>
  <c r="E2" i="8"/>
  <c r="B11" i="8"/>
  <c r="A11" i="3"/>
  <c r="F11" i="3"/>
  <c r="B13" i="3"/>
  <c r="B13" i="2" l="1"/>
  <c r="F11" i="2"/>
  <c r="A11" i="11"/>
  <c r="B13" i="11"/>
  <c r="F11" i="11"/>
  <c r="F13" i="11" s="1"/>
  <c r="F15" i="11" s="1"/>
  <c r="F11" i="5"/>
  <c r="E11" i="5" s="1"/>
  <c r="B13" i="5"/>
  <c r="B15" i="5" s="1"/>
  <c r="E11" i="12"/>
  <c r="E9" i="6"/>
  <c r="F13" i="6"/>
  <c r="E11" i="6"/>
  <c r="A13" i="7"/>
  <c r="B15" i="7"/>
  <c r="E13" i="12"/>
  <c r="F15" i="12"/>
  <c r="E9" i="12"/>
  <c r="B13" i="4"/>
  <c r="A11" i="4"/>
  <c r="B17" i="6"/>
  <c r="A15" i="6"/>
  <c r="F11" i="4"/>
  <c r="E9" i="4" s="1"/>
  <c r="F13" i="7"/>
  <c r="E9" i="7"/>
  <c r="E11" i="7"/>
  <c r="F13" i="3"/>
  <c r="E9" i="3"/>
  <c r="E11" i="3"/>
  <c r="E11" i="9"/>
  <c r="F13" i="9"/>
  <c r="E9" i="9"/>
  <c r="F13" i="13"/>
  <c r="E9" i="13"/>
  <c r="E11" i="13"/>
  <c r="A13" i="2"/>
  <c r="B15" i="2"/>
  <c r="A11" i="8"/>
  <c r="B13" i="8"/>
  <c r="F11" i="8"/>
  <c r="B15" i="9"/>
  <c r="A13" i="9"/>
  <c r="A13" i="3"/>
  <c r="B15" i="3"/>
  <c r="A13" i="10"/>
  <c r="B15" i="10"/>
  <c r="E9" i="10"/>
  <c r="E11" i="10"/>
  <c r="F13" i="10"/>
  <c r="B15" i="13"/>
  <c r="A13" i="13"/>
  <c r="B19" i="12"/>
  <c r="A19" i="12" s="1"/>
  <c r="A17" i="12"/>
  <c r="E9" i="5" l="1"/>
  <c r="F13" i="5"/>
  <c r="E11" i="11"/>
  <c r="E9" i="11"/>
  <c r="A13" i="11"/>
  <c r="B15" i="11"/>
  <c r="E13" i="11"/>
  <c r="A13" i="5"/>
  <c r="F13" i="2"/>
  <c r="E11" i="2"/>
  <c r="E9" i="2"/>
  <c r="E11" i="4"/>
  <c r="F13" i="4"/>
  <c r="F15" i="4" s="1"/>
  <c r="E13" i="7"/>
  <c r="F15" i="7"/>
  <c r="A13" i="4"/>
  <c r="B15" i="4"/>
  <c r="A15" i="5"/>
  <c r="B17" i="5"/>
  <c r="F15" i="6"/>
  <c r="E13" i="6"/>
  <c r="A17" i="6"/>
  <c r="B19" i="6"/>
  <c r="A19" i="6" s="1"/>
  <c r="F17" i="12"/>
  <c r="E15" i="12"/>
  <c r="A15" i="7"/>
  <c r="B17" i="7"/>
  <c r="A15" i="9"/>
  <c r="B17" i="9"/>
  <c r="B15" i="8"/>
  <c r="A13" i="8"/>
  <c r="E13" i="13"/>
  <c r="F15" i="13"/>
  <c r="A15" i="10"/>
  <c r="B17" i="10"/>
  <c r="F17" i="11"/>
  <c r="E15" i="11"/>
  <c r="E13" i="10"/>
  <c r="F15" i="10"/>
  <c r="A15" i="2"/>
  <c r="B17" i="2"/>
  <c r="B17" i="13"/>
  <c r="A15" i="13"/>
  <c r="A15" i="3"/>
  <c r="B17" i="3"/>
  <c r="F13" i="8"/>
  <c r="E11" i="8"/>
  <c r="E9" i="8"/>
  <c r="F15" i="9"/>
  <c r="E13" i="9"/>
  <c r="F15" i="3"/>
  <c r="E13" i="3"/>
  <c r="E13" i="4" l="1"/>
  <c r="B17" i="11"/>
  <c r="A15" i="11"/>
  <c r="E13" i="5"/>
  <c r="F15" i="5"/>
  <c r="E13" i="2"/>
  <c r="F15" i="2"/>
  <c r="A15" i="4"/>
  <c r="B17" i="4"/>
  <c r="E17" i="12"/>
  <c r="F19" i="12"/>
  <c r="E19" i="12" s="1"/>
  <c r="E15" i="6"/>
  <c r="F17" i="6"/>
  <c r="B19" i="7"/>
  <c r="A19" i="7" s="1"/>
  <c r="A17" i="7"/>
  <c r="A17" i="5"/>
  <c r="B19" i="5"/>
  <c r="A19" i="5" s="1"/>
  <c r="E15" i="7"/>
  <c r="F17" i="7"/>
  <c r="F17" i="3"/>
  <c r="E15" i="3"/>
  <c r="E15" i="4"/>
  <c r="F17" i="4"/>
  <c r="A17" i="3"/>
  <c r="B19" i="3"/>
  <c r="A19" i="3" s="1"/>
  <c r="A17" i="2"/>
  <c r="B19" i="2"/>
  <c r="A19" i="2" s="1"/>
  <c r="F17" i="10"/>
  <c r="E15" i="10"/>
  <c r="A17" i="10"/>
  <c r="B19" i="10"/>
  <c r="A19" i="10" s="1"/>
  <c r="B19" i="9"/>
  <c r="A19" i="9" s="1"/>
  <c r="A17" i="9"/>
  <c r="F17" i="9"/>
  <c r="E15" i="9"/>
  <c r="F17" i="13"/>
  <c r="E15" i="13"/>
  <c r="E13" i="8"/>
  <c r="F15" i="8"/>
  <c r="A17" i="13"/>
  <c r="B19" i="13"/>
  <c r="A19" i="13" s="1"/>
  <c r="E17" i="11"/>
  <c r="F19" i="11"/>
  <c r="E19" i="11" s="1"/>
  <c r="B17" i="8"/>
  <c r="A15" i="8"/>
  <c r="F17" i="2" l="1"/>
  <c r="E15" i="2"/>
  <c r="E15" i="5"/>
  <c r="F17" i="5"/>
  <c r="B19" i="11"/>
  <c r="A19" i="11" s="1"/>
  <c r="A17" i="11"/>
  <c r="E17" i="7"/>
  <c r="F19" i="7"/>
  <c r="E19" i="7" s="1"/>
  <c r="F19" i="6"/>
  <c r="E19" i="6" s="1"/>
  <c r="E17" i="6"/>
  <c r="B19" i="4"/>
  <c r="A19" i="4" s="1"/>
  <c r="A17" i="4"/>
  <c r="E17" i="4"/>
  <c r="F19" i="4"/>
  <c r="E19" i="4" s="1"/>
  <c r="A17" i="8"/>
  <c r="B19" i="8"/>
  <c r="A19" i="8" s="1"/>
  <c r="F19" i="13"/>
  <c r="E19" i="13" s="1"/>
  <c r="E17" i="13"/>
  <c r="E15" i="8"/>
  <c r="F17" i="8"/>
  <c r="E17" i="9"/>
  <c r="F19" i="9"/>
  <c r="E19" i="9" s="1"/>
  <c r="E17" i="10"/>
  <c r="F19" i="10"/>
  <c r="E19" i="10" s="1"/>
  <c r="F19" i="3"/>
  <c r="E19" i="3" s="1"/>
  <c r="E17" i="3"/>
  <c r="E17" i="5" l="1"/>
  <c r="F19" i="5"/>
  <c r="E19" i="5" s="1"/>
  <c r="E17" i="2"/>
  <c r="F19" i="2"/>
  <c r="E19" i="2" s="1"/>
  <c r="E17" i="8"/>
  <c r="F19" i="8"/>
  <c r="E19" i="8" s="1"/>
</calcChain>
</file>

<file path=xl/sharedStrings.xml><?xml version="1.0" encoding="utf-8"?>
<sst xmlns="http://schemas.openxmlformats.org/spreadsheetml/2006/main" count="573" uniqueCount="140">
  <si>
    <t>werkstaten</t>
  </si>
  <si>
    <t>Algemene informatie</t>
  </si>
  <si>
    <t>kolom B en D invullen</t>
  </si>
  <si>
    <t>Naam</t>
  </si>
  <si>
    <t>datum 1e stagedag</t>
  </si>
  <si>
    <t>Opleiding</t>
  </si>
  <si>
    <t>datum laatste stagedag</t>
  </si>
  <si>
    <t>Cursusjaar</t>
  </si>
  <si>
    <t>BPV-bedrijf</t>
  </si>
  <si>
    <t>Plaats</t>
  </si>
  <si>
    <t>Praktijkopleider</t>
  </si>
  <si>
    <t>Functie</t>
  </si>
  <si>
    <t>BPV-docent</t>
  </si>
  <si>
    <t>Werkstaat</t>
  </si>
  <si>
    <t>Periode</t>
  </si>
  <si>
    <t>van</t>
  </si>
  <si>
    <t>t/m</t>
  </si>
  <si>
    <t>stage van</t>
  </si>
  <si>
    <t>tot</t>
  </si>
  <si>
    <t xml:space="preserve">inleveren uiterlijk </t>
  </si>
  <si>
    <t>aantal uren</t>
  </si>
  <si>
    <t>aantal gewerkte uren deze twee weken</t>
  </si>
  <si>
    <t>aantal gewerkte uren cumulatief</t>
  </si>
  <si>
    <t>aantal gewerkte dagen deze twee weken</t>
  </si>
  <si>
    <t>aantal gewerkte dagen cumulatief</t>
  </si>
  <si>
    <t>aantal verlofdagen deze twee weken</t>
  </si>
  <si>
    <t>aantal verlofdagen cumulatief</t>
  </si>
  <si>
    <t>aantal ziektedagen deze twee weken</t>
  </si>
  <si>
    <t>aantal ziektedagen cumulatief</t>
  </si>
  <si>
    <t>Getekend door</t>
  </si>
  <si>
    <t>Handtekening</t>
  </si>
  <si>
    <t>Datum</t>
  </si>
  <si>
    <t>Software Developer</t>
  </si>
  <si>
    <t>2023/2024</t>
  </si>
  <si>
    <t>Dhr. A.J. Nieboer</t>
  </si>
  <si>
    <t>Rick Ambergen</t>
  </si>
  <si>
    <t>Provrex</t>
  </si>
  <si>
    <t>Emmen</t>
  </si>
  <si>
    <t>Jeremai</t>
  </si>
  <si>
    <t>Korte introductie met React, Three en Drei. 3D model op de webpagina geladen en met een background en camera controls goed bekijkbaar gemaakt.</t>
  </si>
  <si>
    <t>Verder gegaan met react, three en drei. Heb een box meer mesh gegeven en met deze mesh 3 boxxes gemaakt.</t>
  </si>
  <si>
    <t>Een dook genomen in de basis basis van react en hier dan uiteindelijk een tictactoe game hiermee gemaakt na het volgen van een tutorial.</t>
  </si>
  <si>
    <t>Ziek</t>
  </si>
  <si>
    <t>Een begin gemaakt met Three.js zodat ik alle informatie die er bij sprake komt ook duidelijk te lezen/begrijpen is voor mezelf.</t>
  </si>
  <si>
    <t>Veel gecommuniceerd met collegas en veel kennis opgedaan van wat het bedrijf nogmeer doet achter de schermen.</t>
  </si>
  <si>
    <t>Uitgevogeld hoe ik vanuit de code de kleur van de vertices kan veranderen.</t>
  </si>
  <si>
    <t>Vandaag heb ik eindelijk geleerd hoe ik 3dmodelen op een webpagina kan zetten en deze dan ook met de bijhoorende textures toegevoegd worden samen met het licht.</t>
  </si>
  <si>
    <t>Verder gegaan met het optimaliseren van gisteren.</t>
  </si>
  <si>
    <t>Thuis verder gewerkt aan het optimaliseren.</t>
  </si>
  <si>
    <t>Thuis verder gewerkt aan het model makkelijker via controls van kleur en lengte kunnen aanpassen.</t>
  </si>
  <si>
    <t>Op het kantoor verder gewerkt aan dezelfe functies en deze steeds meer geomptimaliseerd krijgen.</t>
  </si>
  <si>
    <t>Geprobeerd de slider zo te krijgen dat ipv de lengte van het model langer wordt er meer modellen gegenereed worden en deze hiernaast geplaats worden.</t>
  </si>
  <si>
    <t>Enorm veel tegenslag maar verder even naar de code van Salcon en Virtutec gekeken om hier misschien wat meer van te leren.</t>
  </si>
  <si>
    <t>Verder gekeken naar de code van Salcon en Virtutec en hier heb ik wel een paar dingen van geleerd heb.</t>
  </si>
  <si>
    <t>Weer een poging gegeven aan het "langer maken" van de rollerbaan. Niet gelukt gaan morgen verder.</t>
  </si>
  <si>
    <t>Weer verder gegaan met project van de dag hiervoor echter loop ik telkens tegende dezelfde muur aan.</t>
  </si>
  <si>
    <t>Heb wat collegas gevraagd wat die dachten dat het kon zijn, werd aangeraden om de threejs documentatie te bekijken en de voorbeelden te bekijken en kijken of hier its nuttigs tussen zit waar ik gebruik van kan maken.</t>
  </si>
  <si>
    <t>Bezoek kaakchirurg(9 t/m 11), thuis gewerkt voor de rest van de dag. Door de voorbeelden van threejs gekeken, niks kunnen vinden jammer genoeg.</t>
  </si>
  <si>
    <t xml:space="preserve">Vannuit huis gewerkt vandaag omdat ik enorm veel last had van mn kaak en hierdoor slecht geslapen heb. </t>
  </si>
  <si>
    <t>Thuisgewerkt omdat ik een afspraak had bij de huisarts. Weer verder gewerkt aan het proberen de rollerbaan langer te maken.</t>
  </si>
  <si>
    <t>De rollerbaan kan ik eindelijk langermaken en veranderen van kleur door middel van een slider en een color selector.</t>
  </si>
  <si>
    <t>Vrij</t>
  </si>
  <si>
    <t>Verder geprobeerd nou in plaats van meerdere modellen het "langer" maken, de rollerbaan op te delen tussen de rollerbaan zelf, de motor en het eind plaatje hiervan de mesh te dupliceren en deze op plek kunnen zetten.</t>
  </si>
  <si>
    <t>Niet heel veel kunnen doen vandaag, vrij gedemotiveerd met het rollerbaan project. Heb een bericht naar Jeramai gestuurd om te kijken of ik eventueel ook eerst een paar opdrachten eerst te gaan doen voordat ik verder ga met de rollerbaan parametisch te maken.</t>
  </si>
  <si>
    <t>Gesprek met Jeramai gehad, plan gaat als volgd. Ik ga werken in sprints van 2 weken. De aankomende 2 weken ga ik bezig met wat kleinere opdrachten die er klaar zijn gezet voor me.Verder vandaag bezig  geweest met Salcon klaar zetten zodat ik hier ook mee aan het werk kan</t>
  </si>
  <si>
    <t>Begin gemaakt met het klaar maken van de salcon werkomgeving. Loopt niet allemaal zo snel als ik wil maar denk dat ik er vanzelf snel genoeg achter kom.</t>
  </si>
  <si>
    <t>Heb de readme files gevonden die bij de 5 repositories zitten, hier staat (niet super duidelijk)  in hoe ik de salcon werk omgeving draaiend kan krijgen.</t>
  </si>
  <si>
    <t>Heb de readme files doorgelezen en collegas om hulp gevraagd. Blijkt dat ik meerdere platformen tergelijk moet hebben runnen (salcon API, dashboard en viewer &amp; virtutech API en dashboard ) maar hoe dit precies moet ga ik morgen mee verder.</t>
  </si>
  <si>
    <t>Heb de salcon API, dashboard en viewer aan de praat gekregen nou nog kijken hoe ik de API en dashboard van virtutech aan de praat kan krijgen.</t>
  </si>
  <si>
    <t>Heb alles zover draaiend gekregen maar om de 1 of andere reden krijg ik geen verbinding met de database en weet zo niet waarom</t>
  </si>
  <si>
    <t>Ik had XAMPP niet aanstaan.... Maar om de 1 of andere reden werkt virtutech wel maar ik kan niet de switch maken naar salcon vanwege een authentication error en ik weet niet waar deze vandaan komt.</t>
  </si>
  <si>
    <t>Aan Ryan gevraagd of die toevallig wist waar het kon liggen heeft me laten zien dat ik een minio docker moest gebruiken en het heeft wel iets veranderd maar niet opgelost jammer genoeg.</t>
  </si>
  <si>
    <t xml:space="preserve"> 2e paasdag</t>
  </si>
  <si>
    <t>Niet 100% fit dus besloten om thuis te werken. Geprobeert thuis de omgeving aan het werk tekrijgen maar kreeg bij het proberen op te starten van docker al meerdere error codes over een vmachine driver die missende was ookal had ik deze al wel en deze ook aanstonden.</t>
  </si>
  <si>
    <t>Uiteindelijk de salcon dev env aan de praat gekregen net aan het einde van de dag dus ga morgen beginnen met het toevoegen van de functie dat je de models van kleur kan veranderen met een klein kleuze schermpie.</t>
  </si>
  <si>
    <t>…. Ennnn ik heb XAMPP opnieuw mogen instaleren incl de databases voor virtutec en salcon. Maar gelukkig heb ik documentatie gemaakt over het instaleren van de dev env en heb ik deze erbij kunnen gebruiken. Dus nou ga ik maandag beginnen aan waar ik vandaag mee wou beginnen.</t>
  </si>
  <si>
    <t>Vandaag verder gewerkt aan documentatie maken over het instellen van de salcon dev env. (Zowel eerste keer als daarna opstarten.)</t>
  </si>
  <si>
    <t>EINDELIJK heb ik iets in de salcon werkomgeving kunnen maken. Als een model nu geselecteerd is staat de optie om de kleur en texture te veranderen erbij. Echter werken deze nog niet.</t>
  </si>
  <si>
    <t>Vandaag verder gewerkt aan de 2 functies van gisteren niet heel veel verandering mee gekomen, wel heb ik ook naar de andere "opdrachten" gekeken en bij welke files ik moet wezen voor de mogelijke toekomst.</t>
  </si>
  <si>
    <t>Verder gegaan met de color picker functie maar krijg het nogsteeds niet voorelkaar dus volgende week even samen met jeremai naar kijken</t>
  </si>
  <si>
    <t>Moeilijke start van de week, color picker werkt nogsteeds niet en combinatie van feit dat het maandag is en het weer erg somber is vandaag weinig motivatie :(</t>
  </si>
  <si>
    <t>Verder gegaan met trouble shooten van de color picker en de texture picker want om de 1 of andere reden werken ze beide niet.</t>
  </si>
  <si>
    <t>Weer een dag aan hetzelfde gewerkt, misschien niet veel progressie gemaakt maar ik begin wel een duidelijk beel voor mezelf te krijgen welke exacte kant ik graag op wil gaan qua programerings gebied.</t>
  </si>
  <si>
    <t>Verder gegaan met trouble shooten van alleen de color picker voor nu, enigzins wel iets verder gekomen met de kennis over hoe de code allemaal beetje geschreven is maar er is nogsteeds gewoon veel onduidelijk over wat er mis gaat.</t>
  </si>
  <si>
    <t>In overleg besloten dat ik de dashboard van virtutec daadwerkelijk bruikbaar ga maken met functies die daadwerkelijk ook toepassen op wat er in virtutec zelf hoort/moet gebeuren.</t>
  </si>
  <si>
    <t>Was m'n verjaardag dus heb deze dag vrij genomenom de dag te spenderen met mn familie en vrienden.</t>
  </si>
  <si>
    <t>s'ochtends naar de huisarts geweest, rest van de dag ziek in bed gelegen.</t>
  </si>
  <si>
    <t>Verder gegaan met het dashboard maar blijf tegen dezelfde problemen aanlopen en dat is dat ik er niet uitkom dus besloten om meer onderzoek te gaan doen naar de basics van react zelf.</t>
  </si>
  <si>
    <t>Weer verder pogingen gedaan om de shortcut component van het dashboard functionerend te maken, er staat nu tenminste een extra blok bij maar dat is het ook voorderest nog niks.</t>
  </si>
  <si>
    <t>Verder proberen te gaan met het maken van de shortcuts maar voor de 1 of andere reden pakt hij de kleur niet eens goed dus waar dit aan ligt ik heb geen idee maar ik ga hier morgen weer mee verder.</t>
  </si>
  <si>
    <t>Goed verslapen was rond 12 op kantoor verder gegaan waarmee ik gisteren ook bezig was.</t>
  </si>
  <si>
    <t>Weer verder pogingen gedaan om daadwerkelijk nieuwe functies te maken voor het dashboard maar schiet er eigenlijk echt niks mee vooruit. Morgenvroeg tijdens standup Jeramai eve vragen</t>
  </si>
  <si>
    <t>Begonnen met het volgen van de react documentatie, merkte van mezelf dat ik echt nog 0 kennis erover had dus vandaar dat ik eindelijk maar toch een begin ga maken.</t>
  </si>
  <si>
    <t>Verder gegaan met de react documentatie, uiteindelijk bij een kort begin gemaakt met de tictactoe tutorial maar niet ver mee gekomen want de concentratie was ver te zoeken vandaag.</t>
  </si>
  <si>
    <t>Vandaag een enorm eind gekomen met het volgen van de react documentatie/tutorial van de tic-tac-toe game. Ik had meer kunnen doen maar ik ben opzich wel tevreden met mn progressie van vandaag.</t>
  </si>
  <si>
    <t>Verder gegaan met de tic-tac-toe van de react documentatie en er ook gelijk nog wat css bij aan toegevoegd.</t>
  </si>
  <si>
    <t>Hemelsvaart</t>
  </si>
  <si>
    <t>Kantoor gesloten</t>
  </si>
  <si>
    <t>De tic-tac-toe is klaar en aangezien we een lang weekend hebben ben ik maar verder gaan werken aan de css waarmee ik al bezig was puur zodat ik dat ook niet vergeet hoe ik daarmee moet werken en het is wel fijn om een keer weer mn creativiteit te uiten.</t>
  </si>
  <si>
    <t>Door de warmte van vandaag niet heel veel gedaan want kom mn concentratie er niet goed bijhouden maar wel veel gelezen uit de documentatie van react.</t>
  </si>
  <si>
    <t>Time travel aan de boterkaas en eieren toegevoegd en hiermee de tictactoe documentatie afgerond van react en morgen verder gaan met de volgende pagina.</t>
  </si>
  <si>
    <t>2e pinksterdag</t>
  </si>
  <si>
    <t>Gewerkt aan de optimalizatie van de react projecten, waaronder de look en de functionalieteit van de webpagina</t>
  </si>
  <si>
    <t>Verder gegaan waar ik gisteren ook mee bezig was en begonnen met het stuk "thinking in react".</t>
  </si>
  <si>
    <t xml:space="preserve">Eerste "lijst" gemaakt volgens het "thinking in react" stuk van de documentatie </t>
  </si>
  <si>
    <t>Dieper gekeken naar de algeschreven code een paar aanpassingen gedaan waardoor het er iets beter uitziet en voor de rest ook kloppend is</t>
  </si>
  <si>
    <t>De laatste pagina aan react documentatie afgemaakt en heb nu een stuk meer kennis over wat react doet maar ook hoe react werkt en waarom het heel handig is om er gebruik van te maken.</t>
  </si>
  <si>
    <t>Vakantie</t>
  </si>
  <si>
    <t>Begin gemaakt met het lvt project te maken met react, gaat enigzins goed maar heb hier en daar nog wel gebruik gemaakt van chatgpt en de react documentatie om verder te komen.</t>
  </si>
  <si>
    <t>Vandaag niet heel veel gedaan, erg druk in mn hoofd ivm het feit dat het heel slecht gaat met mn hond.</t>
  </si>
  <si>
    <t>Weer begonnen aan de 'lvt', beetje een langzame start maar heb em totzover klaar maar wil het later nog meer in verdiepen om de UI beter te laten lijken en meer funcionaliteiten erin verwerken.</t>
  </si>
  <si>
    <t>Vandaag begonnen met mn stageproject, het opnieuw bouwen van mn portfolio met remix (een react meta framework.) Heb vandaag een groot stuk van de documentatie gelezen.</t>
  </si>
  <si>
    <t>Verder de documentatie gelezen, tis vrij ingewikkeld allemaal maar echter wel heel interesant.</t>
  </si>
  <si>
    <t>Vandaag de documentatie van react afgerond en ben begonnen met de wireframe voor mn portfolio.</t>
  </si>
  <si>
    <t>Concentratie en inspiratie lag vrij laag vandaag ben een beetje met de wireframe opgeschoten maar alle kleine beetjes tellen.</t>
  </si>
  <si>
    <t>Heb vandaag de wireframe afgerond en heb de toepasselijke kleuren en lettertypes hier op aangepast, morgen ga ik beginnen aan het daadwerkelijk proberen iets te maken.</t>
  </si>
  <si>
    <t>Begonnen met het het maken van de index maar tegen best wel wat dingen aan gelopen dus morgen vraag ik even aan ryan hoe en wat aangezien hij me remix ook aangeraden heeft.</t>
  </si>
  <si>
    <t>Ryan vandaag om advies gevraagd en wel een enorm stuk mee opgeschoten, kan veel gelijkenissen nu zien tussen vanilla js en react en dat helpt me al heleboel.</t>
  </si>
  <si>
    <t>Verder bezig geweest met de index pagina.</t>
  </si>
  <si>
    <t>Index pagina is afgerond en heb vandaag ook nog een begin kunnen maken aan de 'saves' pagina. Weet nog niet precies hoe ik die wil hebben maar heb wel een algemeen idee.</t>
  </si>
  <si>
    <t>Vandaag definitief het design van de saves pagina gemaakt. Morgen verder bezig met de functionaliteit ervan.</t>
  </si>
  <si>
    <t>ziek</t>
  </si>
  <si>
    <t>De tictactoe verder uitgewerkt.</t>
  </si>
  <si>
    <t>Verder geprobeert de salcon dev server draaiend te krijgen</t>
  </si>
  <si>
    <t>Nederlands examens dus niet aanwezig op kantoor, vanaf 13 uur thuis gewerkt.</t>
  </si>
  <si>
    <t>Niet aanwezig op kantoor ivm persoonlijke redenen, thuis gewerkt aan het verder functionerend krijgen van de color picker. Niet heel veel vooruitgang geboekt</t>
  </si>
  <si>
    <t>Verder bezig geweest met de functionaliteit van de saves pagina, niet heel veel mee opgeschoten denk dat ik binnenkort even nieuwe inspiratie op ga zoeken.</t>
  </si>
  <si>
    <t>Bezig geweest met zoeken van inspiratie voor de saves pagina maar ook gelijk voor de contact, saves pagina is gelukt, contact pagina echter niet.</t>
  </si>
  <si>
    <t xml:space="preserve">Projecten pagina ontworpen en Ryan gevraagd voor een eventuele suggesties als het gaat over  frameworks, Remix bleek hier best handig voor te zijn ook omdat ik mij focus op een groot deel U.I. </t>
  </si>
  <si>
    <t>Documentatie van Remix door genomen en besloot genomen om hiervan gebruik te gaan maken.</t>
  </si>
  <si>
    <t>Voelde me niet super fit dus niet heel veel kunnen doen, verder gegaan met de documentatie van Remix.</t>
  </si>
  <si>
    <t>Nogsteeds niet super fit, heb Ryan gevraagd of er ook een framework was dat bij Remix past zodat ik een database verbinding kan maken heeft me Prisma aangeraden dus hier ook nog een stukje van gelezen en geprobeert in mn project toe te voegen.</t>
  </si>
  <si>
    <t>Voelde me gelukkig weer beter, begonnen aan het programeren van mijn nieuwe portfolio als stage opdracht met remix en prisma.</t>
  </si>
  <si>
    <t>Zowel Remix als Prisma gebruikt om een verbinding tussen mijn pagina en mijn database te maken, nu nog niet heel veel functionaliteit maar wel de verbinding kunnen leggen.</t>
  </si>
  <si>
    <t>Gesprek gehad met beide Jorgen's erachter gekomen dat ik toch nog wel meer te doen heb als verwacht, heb na het gesprek in een word document gezet wat ik allemaal nog moet doen.</t>
  </si>
  <si>
    <t>Enorm eind gekomen met het nieuwe portfolio, heb nu de index, Saves, projecten en WIP af kunnen maken met nog kleine verbeter puntjes voor eventueel later.</t>
  </si>
  <si>
    <t>Verder gegaan met het schrijven van het stage verslag, heb de inleiding, beschrijving van het stage bedrijf en de parktijkcase de opdracht geschreven en ga maandag verder met het werken hieraan.</t>
  </si>
  <si>
    <t>Verder gewerkt aan het stage verslag en een klein stukje van de projecten pagina verder gemaakt.</t>
  </si>
  <si>
    <t>Wederom verder gewerkt aan het stage verlsag en een interview afgenomen met Jorgen over het stuk van de producten van het stagebedrijf.</t>
  </si>
  <si>
    <t>Verder gegaan met het maken van de about me pagina, echter niet heel ver kunnen komen door een behoorlijk late avond. Thuis verder gegaan en afgerond.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</si>
</sst>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 mmmm\ yyyy;@"/>
    <numFmt numFmtId="165" formatCode="d/mmm/yy;@"/>
    <numFmt numFmtId="166" formatCode="h:mm;@"/>
    <numFmt numFmtId="167" formatCode="[h]:mm;@"/>
  </numFmts>
  <fonts count="3" x14ac:knownFonts="1">
    <font>
      <sz val="11"/>
      <color indexed="8"/>
      <name val="Calibri"/>
      <family val="2"/>
    </font>
    <font>
      <sz val="36"/>
      <color indexed="8"/>
      <name val="Calibri"/>
      <family val="2"/>
    </font>
    <font>
      <b/>
      <sz val="11"/>
      <color indexed="8"/>
      <name val="Calibri"/>
      <family val="2"/>
    </font>
  </fonts>
  <fills count="2">
    <fill>
      <patternFill patternType="none"/>
    </fill>
    <fill>
      <patternFill patternType="gray125"/>
    </fill>
  </fills>
  <borders count="23">
    <border>
      <left/>
      <right/>
      <top/>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
      <left/>
      <right/>
      <top style="thin">
        <color indexed="8"/>
      </top>
      <bottom/>
      <diagonal/>
    </border>
    <border>
      <left/>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s>
  <cellStyleXfs count="1">
    <xf numFmtId="0" fontId="0" fillId="0" borderId="0"/>
  </cellStyleXfs>
  <cellXfs count="52">
    <xf numFmtId="0" fontId="0" fillId="0" borderId="0" xfId="0"/>
    <xf numFmtId="0" fontId="1" fillId="0" borderId="0" xfId="0" applyFont="1" applyAlignment="1">
      <alignment vertical="center"/>
    </xf>
    <xf numFmtId="0" fontId="2" fillId="0" borderId="0" xfId="0" applyFont="1"/>
    <xf numFmtId="0" fontId="0" fillId="0" borderId="0" xfId="0" applyProtection="1">
      <protection locked="0"/>
    </xf>
    <xf numFmtId="164" fontId="0" fillId="0" borderId="0" xfId="0" applyNumberFormat="1" applyProtection="1">
      <protection locked="0"/>
    </xf>
    <xf numFmtId="0" fontId="0" fillId="0" borderId="1" xfId="0" applyBorder="1"/>
    <xf numFmtId="0" fontId="0" fillId="0" borderId="2" xfId="0" applyBorder="1"/>
    <xf numFmtId="0" fontId="1" fillId="0" borderId="3" xfId="0" applyFont="1" applyBorder="1" applyAlignment="1">
      <alignment horizontal="right" vertical="center"/>
    </xf>
    <xf numFmtId="0" fontId="0" fillId="0" borderId="0" xfId="0" applyAlignment="1">
      <alignment horizontal="right" vertical="center"/>
    </xf>
    <xf numFmtId="0" fontId="0" fillId="0" borderId="4" xfId="0" applyBorder="1"/>
    <xf numFmtId="0" fontId="0" fillId="0" borderId="0" xfId="0" applyAlignment="1">
      <alignment horizontal="right"/>
    </xf>
    <xf numFmtId="165" fontId="0" fillId="0" borderId="0" xfId="0" applyNumberFormat="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165" fontId="0" fillId="0" borderId="0" xfId="0" applyNumberFormat="1"/>
    <xf numFmtId="0" fontId="0" fillId="0" borderId="13" xfId="0" applyBorder="1"/>
    <xf numFmtId="165" fontId="0" fillId="0" borderId="13" xfId="0" applyNumberFormat="1" applyBorder="1"/>
    <xf numFmtId="0" fontId="0" fillId="0" borderId="14" xfId="0" applyBorder="1"/>
    <xf numFmtId="165" fontId="0" fillId="0" borderId="15" xfId="0" applyNumberFormat="1" applyBorder="1"/>
    <xf numFmtId="0" fontId="0" fillId="0" borderId="15" xfId="0" applyBorder="1" applyAlignment="1">
      <alignment horizontal="right"/>
    </xf>
    <xf numFmtId="166" fontId="0" fillId="0" borderId="16" xfId="0" applyNumberFormat="1" applyBorder="1" applyProtection="1">
      <protection locked="0"/>
    </xf>
    <xf numFmtId="167" fontId="0" fillId="0" borderId="7" xfId="0" applyNumberFormat="1" applyBorder="1"/>
    <xf numFmtId="0" fontId="0" fillId="0" borderId="17" xfId="0" applyBorder="1"/>
    <xf numFmtId="0" fontId="0" fillId="0" borderId="18" xfId="0" applyBorder="1"/>
    <xf numFmtId="0" fontId="0" fillId="0" borderId="18" xfId="0" applyBorder="1" applyAlignment="1">
      <alignment horizontal="right"/>
    </xf>
    <xf numFmtId="165" fontId="0" fillId="0" borderId="18" xfId="0" applyNumberFormat="1" applyBorder="1" applyAlignment="1">
      <alignment horizontal="center"/>
    </xf>
    <xf numFmtId="0" fontId="0" fillId="0" borderId="19" xfId="0" applyBorder="1"/>
    <xf numFmtId="167" fontId="0" fillId="0" borderId="0" xfId="0" applyNumberFormat="1"/>
    <xf numFmtId="0" fontId="0" fillId="0" borderId="11" xfId="0" applyBorder="1" applyProtection="1">
      <protection locked="0"/>
    </xf>
    <xf numFmtId="0" fontId="0" fillId="0" borderId="8" xfId="0" applyBorder="1"/>
    <xf numFmtId="0" fontId="0" fillId="0" borderId="10" xfId="0" applyBorder="1"/>
    <xf numFmtId="0" fontId="0" fillId="0" borderId="13" xfId="0" applyBorder="1" applyProtection="1">
      <protection locked="0"/>
    </xf>
    <xf numFmtId="49" fontId="0" fillId="0" borderId="20" xfId="0" applyNumberFormat="1" applyBorder="1" applyAlignment="1" applyProtection="1">
      <alignment vertical="top" wrapText="1"/>
      <protection locked="0"/>
    </xf>
    <xf numFmtId="0" fontId="0" fillId="0" borderId="6" xfId="0" applyBorder="1"/>
    <xf numFmtId="49" fontId="0" fillId="0" borderId="0" xfId="0" applyNumberFormat="1" applyAlignment="1" applyProtection="1">
      <alignment vertical="top" wrapText="1"/>
      <protection locked="0"/>
    </xf>
    <xf numFmtId="49" fontId="0" fillId="0" borderId="21" xfId="0" applyNumberFormat="1" applyBorder="1" applyAlignment="1" applyProtection="1">
      <alignment vertical="top" wrapText="1"/>
      <protection locked="0"/>
    </xf>
    <xf numFmtId="0" fontId="1" fillId="0" borderId="2" xfId="0" applyFont="1" applyBorder="1" applyAlignment="1">
      <alignment horizontal="right" vertical="center"/>
    </xf>
    <xf numFmtId="0" fontId="0" fillId="0" borderId="7" xfId="0" applyBorder="1"/>
    <xf numFmtId="0" fontId="0" fillId="0" borderId="9" xfId="0" applyBorder="1"/>
    <xf numFmtId="165" fontId="0" fillId="0" borderId="9" xfId="0" applyNumberFormat="1" applyBorder="1"/>
    <xf numFmtId="165" fontId="0" fillId="0" borderId="11" xfId="0" applyNumberFormat="1" applyBorder="1"/>
    <xf numFmtId="0" fontId="0" fillId="0" borderId="11" xfId="0" applyBorder="1"/>
    <xf numFmtId="0" fontId="0" fillId="0" borderId="0" xfId="0"/>
    <xf numFmtId="0" fontId="0" fillId="0" borderId="13" xfId="0" applyBorder="1"/>
    <xf numFmtId="49" fontId="0" fillId="0" borderId="22" xfId="0" applyNumberFormat="1" applyBorder="1" applyAlignment="1" applyProtection="1">
      <alignment vertical="top" wrapText="1"/>
      <protection locked="0"/>
    </xf>
    <xf numFmtId="49" fontId="0" fillId="0" borderId="20" xfId="0" quotePrefix="1" applyNumberFormat="1" applyBorder="1" applyAlignment="1" applyProtection="1">
      <alignment vertical="top" wrapText="1"/>
      <protection locked="0"/>
    </xf>
  </cellXfs>
  <cellStyles count="1">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335280</xdr:colOff>
      <xdr:row>0</xdr:row>
      <xdr:rowOff>182880</xdr:rowOff>
    </xdr:from>
    <xdr:to>
      <xdr:col>2</xdr:col>
      <xdr:colOff>899160</xdr:colOff>
      <xdr:row>0</xdr:row>
      <xdr:rowOff>1021080</xdr:rowOff>
    </xdr:to>
    <xdr:pic>
      <xdr:nvPicPr>
        <xdr:cNvPr id="1032" name="Afbeelding 1">
          <a:extLst>
            <a:ext uri="{FF2B5EF4-FFF2-40B4-BE49-F238E27FC236}">
              <a16:creationId xmlns:a16="http://schemas.microsoft.com/office/drawing/2014/main" id="{00000000-0008-0000-0000-000008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5280" y="182880"/>
          <a:ext cx="374142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2056" name="Afbeelding 1">
          <a:extLst>
            <a:ext uri="{FF2B5EF4-FFF2-40B4-BE49-F238E27FC236}">
              <a16:creationId xmlns:a16="http://schemas.microsoft.com/office/drawing/2014/main" id="{00000000-0008-0000-0100-000008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3080" name="Afbeelding 1">
          <a:extLst>
            <a:ext uri="{FF2B5EF4-FFF2-40B4-BE49-F238E27FC236}">
              <a16:creationId xmlns:a16="http://schemas.microsoft.com/office/drawing/2014/main" id="{00000000-0008-0000-0200-000008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4104" name="Afbeelding 1">
          <a:extLst>
            <a:ext uri="{FF2B5EF4-FFF2-40B4-BE49-F238E27FC236}">
              <a16:creationId xmlns:a16="http://schemas.microsoft.com/office/drawing/2014/main" id="{00000000-0008-0000-0300-000008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5128" name="Afbeelding 1">
          <a:extLst>
            <a:ext uri="{FF2B5EF4-FFF2-40B4-BE49-F238E27FC236}">
              <a16:creationId xmlns:a16="http://schemas.microsoft.com/office/drawing/2014/main" id="{00000000-0008-0000-0400-0000081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6152" name="Afbeelding 1">
          <a:extLst>
            <a:ext uri="{FF2B5EF4-FFF2-40B4-BE49-F238E27FC236}">
              <a16:creationId xmlns:a16="http://schemas.microsoft.com/office/drawing/2014/main" id="{00000000-0008-0000-0500-0000081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7176" name="Afbeelding 1">
          <a:extLst>
            <a:ext uri="{FF2B5EF4-FFF2-40B4-BE49-F238E27FC236}">
              <a16:creationId xmlns:a16="http://schemas.microsoft.com/office/drawing/2014/main" id="{00000000-0008-0000-0600-0000081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8200" name="Afbeelding 1">
          <a:extLst>
            <a:ext uri="{FF2B5EF4-FFF2-40B4-BE49-F238E27FC236}">
              <a16:creationId xmlns:a16="http://schemas.microsoft.com/office/drawing/2014/main" id="{00000000-0008-0000-0700-000008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9224" name="Afbeelding 1">
          <a:extLst>
            <a:ext uri="{FF2B5EF4-FFF2-40B4-BE49-F238E27FC236}">
              <a16:creationId xmlns:a16="http://schemas.microsoft.com/office/drawing/2014/main" id="{00000000-0008-0000-0800-000008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0248" name="Afbeelding 1">
          <a:extLst>
            <a:ext uri="{FF2B5EF4-FFF2-40B4-BE49-F238E27FC236}">
              <a16:creationId xmlns:a16="http://schemas.microsoft.com/office/drawing/2014/main" id="{00000000-0008-0000-0900-000008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1272" name="Afbeelding 1">
          <a:extLst>
            <a:ext uri="{FF2B5EF4-FFF2-40B4-BE49-F238E27FC236}">
              <a16:creationId xmlns:a16="http://schemas.microsoft.com/office/drawing/2014/main" id="{00000000-0008-0000-0A00-0000082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2296" name="Afbeelding 1">
          <a:extLst>
            <a:ext uri="{FF2B5EF4-FFF2-40B4-BE49-F238E27FC236}">
              <a16:creationId xmlns:a16="http://schemas.microsoft.com/office/drawing/2014/main" id="{00000000-0008-0000-0B00-0000083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3320" name="Afbeelding 1">
          <a:extLst>
            <a:ext uri="{FF2B5EF4-FFF2-40B4-BE49-F238E27FC236}">
              <a16:creationId xmlns:a16="http://schemas.microsoft.com/office/drawing/2014/main" id="{00000000-0008-0000-0C00-0000083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D11"/>
  <sheetViews>
    <sheetView workbookViewId="0">
      <selection activeCell="B11" sqref="B11"/>
    </sheetView>
  </sheetViews>
  <sheetFormatPr defaultColWidth="9.1796875" defaultRowHeight="14.5" x14ac:dyDescent="0.35"/>
  <cols>
    <col min="1" max="1" width="20.7265625" customWidth="1"/>
    <col min="2" max="2" width="25.7265625" customWidth="1"/>
    <col min="3" max="3" width="20.7265625" customWidth="1"/>
    <col min="4" max="4" width="25.7265625" customWidth="1"/>
  </cols>
  <sheetData>
    <row r="1" spans="1:4" ht="89.25" customHeight="1" x14ac:dyDescent="0.35">
      <c r="D1" s="1" t="s">
        <v>0</v>
      </c>
    </row>
    <row r="2" spans="1:4" x14ac:dyDescent="0.35">
      <c r="A2" t="s">
        <v>1</v>
      </c>
      <c r="B2" s="2" t="s">
        <v>2</v>
      </c>
    </row>
    <row r="4" spans="1:4" x14ac:dyDescent="0.35">
      <c r="A4" t="s">
        <v>3</v>
      </c>
      <c r="B4" s="3" t="s">
        <v>35</v>
      </c>
      <c r="C4" t="s">
        <v>4</v>
      </c>
      <c r="D4" s="4">
        <v>45334</v>
      </c>
    </row>
    <row r="5" spans="1:4" x14ac:dyDescent="0.35">
      <c r="A5" t="s">
        <v>5</v>
      </c>
      <c r="B5" s="3" t="s">
        <v>32</v>
      </c>
      <c r="C5" t="s">
        <v>6</v>
      </c>
      <c r="D5" s="4">
        <v>45480</v>
      </c>
    </row>
    <row r="6" spans="1:4" x14ac:dyDescent="0.35">
      <c r="A6" t="s">
        <v>7</v>
      </c>
      <c r="B6" s="3" t="s">
        <v>33</v>
      </c>
    </row>
    <row r="7" spans="1:4" x14ac:dyDescent="0.35">
      <c r="A7" t="s">
        <v>8</v>
      </c>
      <c r="B7" s="3" t="s">
        <v>36</v>
      </c>
    </row>
    <row r="8" spans="1:4" x14ac:dyDescent="0.35">
      <c r="A8" t="s">
        <v>9</v>
      </c>
      <c r="B8" s="3" t="s">
        <v>37</v>
      </c>
    </row>
    <row r="9" spans="1:4" x14ac:dyDescent="0.35">
      <c r="A9" t="s">
        <v>10</v>
      </c>
      <c r="B9" s="3" t="s">
        <v>38</v>
      </c>
    </row>
    <row r="10" spans="1:4" x14ac:dyDescent="0.35">
      <c r="A10" t="s">
        <v>11</v>
      </c>
      <c r="B10" s="3" t="s">
        <v>32</v>
      </c>
    </row>
    <row r="11" spans="1:4" x14ac:dyDescent="0.35">
      <c r="A11" t="s">
        <v>12</v>
      </c>
      <c r="B11" s="3" t="s">
        <v>34</v>
      </c>
    </row>
  </sheetData>
  <sheetProtection sheet="1" selectLockedCells="1"/>
  <pageMargins left="0.7" right="0.7" top="0.75" bottom="0.75" header="0.51180555555555551" footer="0.51180555555555551"/>
  <pageSetup paperSize="9" firstPageNumber="0"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fitToPage="1"/>
  </sheetPr>
  <dimension ref="A1:L31"/>
  <sheetViews>
    <sheetView topLeftCell="A14" workbookViewId="0">
      <selection activeCell="A18" sqref="A18:D18"/>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90" customHeight="1" x14ac:dyDescent="0.35">
      <c r="A1" s="5"/>
      <c r="B1" s="6"/>
      <c r="C1" s="6"/>
      <c r="D1" s="6"/>
      <c r="E1" s="42" t="s">
        <v>13</v>
      </c>
      <c r="F1" s="42"/>
      <c r="G1" s="42"/>
      <c r="H1" s="7">
        <v>1</v>
      </c>
      <c r="I1" s="8"/>
      <c r="J1" s="8"/>
      <c r="K1" s="8"/>
      <c r="L1" s="8"/>
    </row>
    <row r="2" spans="1:12" x14ac:dyDescent="0.35">
      <c r="A2" s="9"/>
      <c r="C2" s="10" t="s">
        <v>14</v>
      </c>
      <c r="D2" s="10" t="s">
        <v>15</v>
      </c>
      <c r="E2" s="11">
        <f>B6</f>
        <v>45334</v>
      </c>
      <c r="F2" s="10" t="s">
        <v>16</v>
      </c>
      <c r="G2" s="11">
        <f>B7</f>
        <v>45480</v>
      </c>
      <c r="H2" s="12"/>
    </row>
    <row r="3" spans="1:12" x14ac:dyDescent="0.35">
      <c r="A3" s="13" t="s">
        <v>3</v>
      </c>
      <c r="B3" s="43" t="str">
        <f>IF(ISBLANK(Algemeen!B4),"",Algemeen!B4)</f>
        <v>Rick Ambergen</v>
      </c>
      <c r="C3" s="43"/>
      <c r="D3" s="43"/>
      <c r="E3" s="13" t="s">
        <v>8</v>
      </c>
      <c r="F3" s="43" t="str">
        <f>IF(ISBLANK(Algemeen!B7),"",Algemeen!B7)</f>
        <v>Provrex</v>
      </c>
      <c r="G3" s="43"/>
      <c r="H3" s="43"/>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45355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45334</v>
      </c>
      <c r="C11" s="25" t="s">
        <v>20</v>
      </c>
      <c r="D11" s="26">
        <v>0.33333333333333331</v>
      </c>
      <c r="E11" s="23" t="str">
        <f>IF(WEEKDAY(F11,1)=1,"Zondag",IF(WEEKDAY(F11,1)=2,"Maandag",IF(WEEKDAY(F11,1)=3,"Dinsdag",IF(WEEKDAY(F11,1)=4,"Woensdag",IF(WEEKDAY(F11,1)=5,"Donderdag",IF(WEEKDAY(F11,1)=6,"Vrijdag","Zaterdag"))))))</f>
        <v>Maandag</v>
      </c>
      <c r="F11" s="24">
        <f>B11+7</f>
        <v>45341</v>
      </c>
      <c r="G11" s="25" t="s">
        <v>20</v>
      </c>
      <c r="H11" s="26">
        <v>0.33333333333333331</v>
      </c>
    </row>
    <row r="12" spans="1:12" ht="99.75" customHeight="1" x14ac:dyDescent="0.35">
      <c r="A12" s="41" t="s">
        <v>39</v>
      </c>
      <c r="B12" s="41"/>
      <c r="C12" s="41"/>
      <c r="D12" s="41"/>
      <c r="E12" s="38" t="s">
        <v>45</v>
      </c>
      <c r="F12" s="38"/>
      <c r="G12" s="38"/>
      <c r="H12" s="38"/>
    </row>
    <row r="13" spans="1:12" x14ac:dyDescent="0.35">
      <c r="A13" s="23" t="str">
        <f>IF(WEEKDAY(B13,1)=1,"Zondag",IF(WEEKDAY(B13,1)=2,"Maandag",IF(WEEKDAY(B13,1)=3,"Dinsdag",IF(WEEKDAY(B13,1)=4,"Woensdag",IF(WEEKDAY(B13,1)=5,"Donderdag",IF(WEEKDAY(B13,1)=6,"Vrijdag","Zaterdag"))))))</f>
        <v>Dinsdag</v>
      </c>
      <c r="B13" s="24">
        <f>B11+1</f>
        <v>45335</v>
      </c>
      <c r="C13" s="25" t="s">
        <v>20</v>
      </c>
      <c r="D13" s="26">
        <v>0.33333333333333331</v>
      </c>
      <c r="E13" s="23" t="str">
        <f>IF(WEEKDAY(F13,1)=1,"Zondag",IF(WEEKDAY(F13,1)=2,"Maandag",IF(WEEKDAY(F13,1)=3,"Dinsdag",IF(WEEKDAY(F13,1)=4,"Woensdag",IF(WEEKDAY(F13,1)=5,"Donderdag",IF(WEEKDAY(F13,1)=6,"Vrijdag","Zaterdag"))))))</f>
        <v>Dinsdag</v>
      </c>
      <c r="F13" s="24">
        <f>F11+1</f>
        <v>45342</v>
      </c>
      <c r="G13" s="25" t="s">
        <v>20</v>
      </c>
      <c r="H13" s="26">
        <v>0.35416666666666669</v>
      </c>
    </row>
    <row r="14" spans="1:12" ht="99.75" customHeight="1" x14ac:dyDescent="0.35">
      <c r="A14" s="40" t="s">
        <v>40</v>
      </c>
      <c r="B14" s="40"/>
      <c r="C14" s="40"/>
      <c r="D14" s="40"/>
      <c r="E14" s="38" t="s">
        <v>43</v>
      </c>
      <c r="F14" s="38"/>
      <c r="G14" s="38"/>
      <c r="H14" s="38"/>
    </row>
    <row r="15" spans="1:12" x14ac:dyDescent="0.35">
      <c r="A15" s="23" t="str">
        <f>IF(WEEKDAY(B15,1)=1,"Zondag",IF(WEEKDAY(B15,1)=2,"Maandag",IF(WEEKDAY(B15,1)=3,"Dinsdag",IF(WEEKDAY(B15,1)=4,"Woensdag",IF(WEEKDAY(B15,1)=5,"Donderdag",IF(WEEKDAY(B15,1)=6,"Vrijdag","Zaterdag"))))))</f>
        <v>Woensdag</v>
      </c>
      <c r="B15" s="24">
        <f>B13+1</f>
        <v>45336</v>
      </c>
      <c r="C15" s="25" t="s">
        <v>20</v>
      </c>
      <c r="D15" s="26">
        <v>0.33333333333333331</v>
      </c>
      <c r="E15" s="23" t="str">
        <f>IF(WEEKDAY(F15,1)=1,"Zondag",IF(WEEKDAY(F15,1)=2,"Maandag",IF(WEEKDAY(F15,1)=3,"Dinsdag",IF(WEEKDAY(F15,1)=4,"Woensdag",IF(WEEKDAY(F15,1)=5,"Donderdag",IF(WEEKDAY(F15,1)=6,"Vrijdag","Zaterdag"))))))</f>
        <v>Woensdag</v>
      </c>
      <c r="F15" s="24">
        <f>F13+1</f>
        <v>45343</v>
      </c>
      <c r="G15" s="25" t="s">
        <v>20</v>
      </c>
      <c r="H15" s="26">
        <v>0.33333333333333331</v>
      </c>
    </row>
    <row r="16" spans="1:12" ht="99.75" customHeight="1" x14ac:dyDescent="0.35">
      <c r="A16" s="38" t="s">
        <v>41</v>
      </c>
      <c r="B16" s="38"/>
      <c r="C16" s="38"/>
      <c r="D16" s="38"/>
      <c r="E16" s="38" t="s">
        <v>46</v>
      </c>
      <c r="F16" s="38"/>
      <c r="G16" s="38"/>
      <c r="H16" s="38"/>
    </row>
    <row r="17" spans="1:8" x14ac:dyDescent="0.35">
      <c r="A17" s="23" t="str">
        <f>IF(WEEKDAY(B17,1)=1,"Zondag",IF(WEEKDAY(B17,1)=2,"Maandag",IF(WEEKDAY(B17,1)=3,"Dinsdag",IF(WEEKDAY(B17,1)=4,"Woensdag",IF(WEEKDAY(B17,1)=5,"Donderdag",IF(WEEKDAY(B17,1)=6,"Vrijdag","Zaterdag"))))))</f>
        <v>Donderdag</v>
      </c>
      <c r="B17" s="24">
        <f>B15+1</f>
        <v>45337</v>
      </c>
      <c r="C17" s="25" t="s">
        <v>20</v>
      </c>
      <c r="D17" s="26">
        <v>0.33333333333333331</v>
      </c>
      <c r="E17" s="23" t="str">
        <f>IF(WEEKDAY(F17,1)=1,"Zondag",IF(WEEKDAY(F17,1)=2,"Maandag",IF(WEEKDAY(F17,1)=3,"Dinsdag",IF(WEEKDAY(F17,1)=4,"Woensdag",IF(WEEKDAY(F17,1)=5,"Donderdag",IF(WEEKDAY(F17,1)=6,"Vrijdag","Zaterdag"))))))</f>
        <v>Donderdag</v>
      </c>
      <c r="F17" s="24">
        <f>F15+1</f>
        <v>45344</v>
      </c>
      <c r="G17" s="25" t="s">
        <v>20</v>
      </c>
      <c r="H17" s="26">
        <v>0.33333333333333331</v>
      </c>
    </row>
    <row r="18" spans="1:8" ht="99.75" customHeight="1" x14ac:dyDescent="0.35">
      <c r="A18" s="38" t="s">
        <v>122</v>
      </c>
      <c r="B18" s="38"/>
      <c r="C18" s="38"/>
      <c r="D18" s="38"/>
      <c r="E18" s="38" t="s">
        <v>47</v>
      </c>
      <c r="F18" s="38"/>
      <c r="G18" s="38"/>
      <c r="H18" s="38"/>
    </row>
    <row r="19" spans="1:8" x14ac:dyDescent="0.35">
      <c r="A19" s="23" t="str">
        <f>IF(WEEKDAY(B19,1)=1,"Zondag",IF(WEEKDAY(B19,1)=2,"Maandag",IF(WEEKDAY(B19,1)=3,"Dinsdag",IF(WEEKDAY(B19,1)=4,"Woensdag",IF(WEEKDAY(B19,1)=5,"Donderdag",IF(WEEKDAY(B19,1)=6,"Vrijdag","Zaterdag"))))))</f>
        <v>Vrijdag</v>
      </c>
      <c r="B19" s="24">
        <f>B17+1</f>
        <v>45338</v>
      </c>
      <c r="C19" s="25" t="s">
        <v>20</v>
      </c>
      <c r="D19" s="26">
        <v>0.33333333333333331</v>
      </c>
      <c r="E19" s="23" t="str">
        <f>IF(WEEKDAY(F19,1)=1,"Zondag",IF(WEEKDAY(F19,1)=2,"Maandag",IF(WEEKDAY(F19,1)=3,"Dinsdag",IF(WEEKDAY(F19,1)=4,"Woensdag",IF(WEEKDAY(F19,1)=5,"Donderdag",IF(WEEKDAY(F19,1)=6,"Vrijdag","Zaterdag"))))))</f>
        <v>Vrijdag</v>
      </c>
      <c r="F19" s="24">
        <f>F17+1</f>
        <v>45345</v>
      </c>
      <c r="G19" s="25" t="s">
        <v>20</v>
      </c>
      <c r="H19" s="26">
        <v>0.33333333333333331</v>
      </c>
    </row>
    <row r="20" spans="1:8" ht="99.75" customHeight="1" x14ac:dyDescent="0.35">
      <c r="A20" s="38" t="s">
        <v>44</v>
      </c>
      <c r="B20" s="38"/>
      <c r="C20" s="38"/>
      <c r="D20" s="38"/>
      <c r="E20" s="38" t="s">
        <v>48</v>
      </c>
      <c r="F20" s="38"/>
      <c r="G20" s="38"/>
      <c r="H20" s="38"/>
    </row>
    <row r="21" spans="1:8" x14ac:dyDescent="0.35">
      <c r="A21" s="39" t="s">
        <v>21</v>
      </c>
      <c r="B21" s="39"/>
      <c r="C21" s="39"/>
      <c r="D21" s="27">
        <f>D11+D13+D15+D17+D19+H11+H13+H15+H17+H19</f>
        <v>3.354166666666667</v>
      </c>
      <c r="E21" s="39" t="s">
        <v>22</v>
      </c>
      <c r="F21" s="39"/>
      <c r="G21" s="39"/>
      <c r="H21" s="27">
        <f>D21</f>
        <v>3.354166666666667</v>
      </c>
    </row>
    <row r="22" spans="1:8" x14ac:dyDescent="0.35">
      <c r="A22" s="35" t="s">
        <v>23</v>
      </c>
      <c r="B22" s="35"/>
      <c r="C22" s="35"/>
      <c r="D22" s="16">
        <f>IF(D11&gt;0,1,0)+IF(D13&gt;0,1,0)+IF(D15&gt;0,1,0)+IF(D17&gt;0,1,0)+IF(D19&gt;0,1,0)+IF(H11&gt;0,1,0)+IF(H13&gt;0,1,0)+IF(H15&gt;0,1,0)+IF(H17&gt;0,1,0)+IF(H19&gt;0,1,0)</f>
        <v>10</v>
      </c>
      <c r="E22" s="35" t="s">
        <v>24</v>
      </c>
      <c r="F22" s="35"/>
      <c r="G22" s="35"/>
      <c r="H22" s="16">
        <f>D22</f>
        <v>10</v>
      </c>
    </row>
    <row r="23" spans="1:8"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f>
        <v>0</v>
      </c>
    </row>
    <row r="24" spans="1:8"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f>
        <v>0</v>
      </c>
    </row>
    <row r="25" spans="1:8" x14ac:dyDescent="0.35">
      <c r="A25" s="13"/>
      <c r="B25" s="19"/>
      <c r="C25" s="19"/>
      <c r="D25" s="19"/>
      <c r="E25" s="19"/>
      <c r="F25" s="19"/>
      <c r="G25" s="19"/>
      <c r="H25" s="14"/>
    </row>
    <row r="26" spans="1:8" x14ac:dyDescent="0.35">
      <c r="A26" s="15"/>
      <c r="H26" s="16"/>
    </row>
    <row r="27" spans="1:8" x14ac:dyDescent="0.35">
      <c r="A27" s="15" t="s">
        <v>29</v>
      </c>
      <c r="B27" s="37"/>
      <c r="C27" s="37"/>
      <c r="D27" s="37"/>
      <c r="E27" t="s">
        <v>11</v>
      </c>
      <c r="F27" s="34"/>
      <c r="G27" s="34"/>
      <c r="H27" s="34"/>
    </row>
    <row r="28" spans="1:8" x14ac:dyDescent="0.35">
      <c r="A28" s="15"/>
      <c r="H28" s="16"/>
    </row>
    <row r="29" spans="1:8" x14ac:dyDescent="0.35">
      <c r="A29" s="15"/>
      <c r="H29" s="16"/>
    </row>
    <row r="30" spans="1:8" x14ac:dyDescent="0.35">
      <c r="A30" s="15" t="s">
        <v>30</v>
      </c>
      <c r="B30" s="21"/>
      <c r="C30" s="21"/>
      <c r="D30" s="21"/>
      <c r="E30" t="s">
        <v>31</v>
      </c>
      <c r="F30" s="34"/>
      <c r="G30" s="34"/>
      <c r="H30" s="34"/>
    </row>
    <row r="31" spans="1:8" x14ac:dyDescent="0.35">
      <c r="A31" s="17"/>
      <c r="B31" s="21"/>
      <c r="C31" s="21"/>
      <c r="D31" s="21"/>
      <c r="E31" s="21"/>
      <c r="F31" s="21"/>
      <c r="G31" s="21"/>
      <c r="H31" s="18"/>
    </row>
  </sheetData>
  <sheetProtection sheet="1" selectLockedCells="1"/>
  <mergeCells count="33">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pageSetUpPr fitToPage="1"/>
  </sheetPr>
  <dimension ref="A1:L31"/>
  <sheetViews>
    <sheetView topLeftCell="A14" workbookViewId="0">
      <selection activeCell="E12" sqref="E12:H12"/>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2</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45369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45348</v>
      </c>
      <c r="C11" s="25" t="s">
        <v>20</v>
      </c>
      <c r="D11" s="26">
        <v>0.33333333333333331</v>
      </c>
      <c r="E11" s="23" t="str">
        <f>IF(WEEKDAY(F11,1)=1,"Zondag",IF(WEEKDAY(F11,1)=2,"Maandag",IF(WEEKDAY(F11,1)=3,"Dinsdag",IF(WEEKDAY(F11,1)=4,"Woensdag",IF(WEEKDAY(F11,1)=5,"Donderdag",IF(WEEKDAY(F11,1)=6,"Vrijdag","Zaterdag"))))))</f>
        <v>Maandag</v>
      </c>
      <c r="F11" s="24">
        <f>B11+7</f>
        <v>45355</v>
      </c>
      <c r="G11" s="25" t="s">
        <v>20</v>
      </c>
      <c r="H11" s="26">
        <v>0.33333333333333331</v>
      </c>
    </row>
    <row r="12" spans="1:12" ht="99.75" customHeight="1" x14ac:dyDescent="0.35">
      <c r="A12" s="41" t="s">
        <v>49</v>
      </c>
      <c r="B12" s="41"/>
      <c r="C12" s="41"/>
      <c r="D12" s="41"/>
      <c r="E12" s="38" t="s">
        <v>54</v>
      </c>
      <c r="F12" s="38"/>
      <c r="G12" s="38"/>
      <c r="H12" s="38"/>
    </row>
    <row r="13" spans="1:12" x14ac:dyDescent="0.35">
      <c r="A13" s="23" t="str">
        <f>IF(WEEKDAY(B13,1)=1,"Zondag",IF(WEEKDAY(B13,1)=2,"Maandag",IF(WEEKDAY(B13,1)=3,"Dinsdag",IF(WEEKDAY(B13,1)=4,"Woensdag",IF(WEEKDAY(B13,1)=5,"Donderdag",IF(WEEKDAY(B13,1)=6,"Vrijdag","Zaterdag"))))))</f>
        <v>Dinsdag</v>
      </c>
      <c r="B13" s="24">
        <f>B11+1</f>
        <v>45349</v>
      </c>
      <c r="C13" s="25" t="s">
        <v>20</v>
      </c>
      <c r="D13" s="26">
        <v>0.33333333333333331</v>
      </c>
      <c r="E13" s="23" t="str">
        <f>IF(WEEKDAY(F13,1)=1,"Zondag",IF(WEEKDAY(F13,1)=2,"Maandag",IF(WEEKDAY(F13,1)=3,"Dinsdag",IF(WEEKDAY(F13,1)=4,"Woensdag",IF(WEEKDAY(F13,1)=5,"Donderdag",IF(WEEKDAY(F13,1)=6,"Vrijdag","Zaterdag"))))))</f>
        <v>Dinsdag</v>
      </c>
      <c r="F13" s="24">
        <f>F11+1</f>
        <v>45356</v>
      </c>
      <c r="G13" s="25" t="s">
        <v>20</v>
      </c>
      <c r="H13" s="26">
        <v>0.33333333333333331</v>
      </c>
    </row>
    <row r="14" spans="1:12" ht="99.75" customHeight="1" x14ac:dyDescent="0.35">
      <c r="A14" s="38" t="s">
        <v>50</v>
      </c>
      <c r="B14" s="38"/>
      <c r="C14" s="38"/>
      <c r="D14" s="38"/>
      <c r="E14" s="38" t="s">
        <v>55</v>
      </c>
      <c r="F14" s="38"/>
      <c r="G14" s="38"/>
      <c r="H14" s="38"/>
    </row>
    <row r="15" spans="1:12" x14ac:dyDescent="0.35">
      <c r="A15" s="23" t="str">
        <f>IF(WEEKDAY(B15,1)=1,"Zondag",IF(WEEKDAY(B15,1)=2,"Maandag",IF(WEEKDAY(B15,1)=3,"Dinsdag",IF(WEEKDAY(B15,1)=4,"Woensdag",IF(WEEKDAY(B15,1)=5,"Donderdag",IF(WEEKDAY(B15,1)=6,"Vrijdag","Zaterdag"))))))</f>
        <v>Woensdag</v>
      </c>
      <c r="B15" s="24">
        <f>B13+1</f>
        <v>45350</v>
      </c>
      <c r="C15" s="25" t="s">
        <v>20</v>
      </c>
      <c r="D15" s="26">
        <v>0.33333333333333331</v>
      </c>
      <c r="E15" s="23" t="str">
        <f>IF(WEEKDAY(F15,1)=1,"Zondag",IF(WEEKDAY(F15,1)=2,"Maandag",IF(WEEKDAY(F15,1)=3,"Dinsdag",IF(WEEKDAY(F15,1)=4,"Woensdag",IF(WEEKDAY(F15,1)=5,"Donderdag",IF(WEEKDAY(F15,1)=6,"Vrijdag","Zaterdag"))))))</f>
        <v>Woensdag</v>
      </c>
      <c r="F15" s="24">
        <f>F13+1</f>
        <v>45357</v>
      </c>
      <c r="G15" s="25" t="s">
        <v>20</v>
      </c>
      <c r="H15" s="26">
        <v>0.33333333333333331</v>
      </c>
    </row>
    <row r="16" spans="1:12" ht="99.75" customHeight="1" x14ac:dyDescent="0.35">
      <c r="A16" s="38" t="s">
        <v>51</v>
      </c>
      <c r="B16" s="38"/>
      <c r="C16" s="38"/>
      <c r="D16" s="38"/>
      <c r="E16" s="38" t="s">
        <v>56</v>
      </c>
      <c r="F16" s="38"/>
      <c r="G16" s="38"/>
      <c r="H16" s="38"/>
    </row>
    <row r="17" spans="1:8" x14ac:dyDescent="0.35">
      <c r="A17" s="23" t="str">
        <f>IF(WEEKDAY(B17,1)=1,"Zondag",IF(WEEKDAY(B17,1)=2,"Maandag",IF(WEEKDAY(B17,1)=3,"Dinsdag",IF(WEEKDAY(B17,1)=4,"Woensdag",IF(WEEKDAY(B17,1)=5,"Donderdag",IF(WEEKDAY(B17,1)=6,"Vrijdag","Zaterdag"))))))</f>
        <v>Donderdag</v>
      </c>
      <c r="B17" s="24">
        <f>B15+1</f>
        <v>45351</v>
      </c>
      <c r="C17" s="25" t="s">
        <v>20</v>
      </c>
      <c r="D17" s="26">
        <v>0.33333333333333331</v>
      </c>
      <c r="E17" s="23" t="str">
        <f>IF(WEEKDAY(F17,1)=1,"Zondag",IF(WEEKDAY(F17,1)=2,"Maandag",IF(WEEKDAY(F17,1)=3,"Dinsdag",IF(WEEKDAY(F17,1)=4,"Woensdag",IF(WEEKDAY(F17,1)=5,"Donderdag",IF(WEEKDAY(F17,1)=6,"Vrijdag","Zaterdag"))))))</f>
        <v>Donderdag</v>
      </c>
      <c r="F17" s="24">
        <f>F15+1</f>
        <v>45358</v>
      </c>
      <c r="G17" s="25" t="s">
        <v>20</v>
      </c>
      <c r="H17" s="26">
        <v>0.25</v>
      </c>
    </row>
    <row r="18" spans="1:8" ht="99.75" customHeight="1" x14ac:dyDescent="0.35">
      <c r="A18" s="38" t="s">
        <v>52</v>
      </c>
      <c r="B18" s="38"/>
      <c r="C18" s="38"/>
      <c r="D18" s="38"/>
      <c r="E18" s="38" t="s">
        <v>57</v>
      </c>
      <c r="F18" s="38"/>
      <c r="G18" s="38"/>
      <c r="H18" s="38"/>
    </row>
    <row r="19" spans="1:8" x14ac:dyDescent="0.35">
      <c r="A19" s="23" t="str">
        <f>IF(WEEKDAY(B19,1)=1,"Zondag",IF(WEEKDAY(B19,1)=2,"Maandag",IF(WEEKDAY(B19,1)=3,"Dinsdag",IF(WEEKDAY(B19,1)=4,"Woensdag",IF(WEEKDAY(B19,1)=5,"Donderdag",IF(WEEKDAY(B19,1)=6,"Vrijdag","Zaterdag"))))))</f>
        <v>Vrijdag</v>
      </c>
      <c r="B19" s="24">
        <f>B17+1</f>
        <v>45352</v>
      </c>
      <c r="C19" s="25" t="s">
        <v>20</v>
      </c>
      <c r="D19" s="26">
        <v>0.33333333333333331</v>
      </c>
      <c r="E19" s="23" t="str">
        <f>IF(WEEKDAY(F19,1)=1,"Zondag",IF(WEEKDAY(F19,1)=2,"Maandag",IF(WEEKDAY(F19,1)=3,"Dinsdag",IF(WEEKDAY(F19,1)=4,"Woensdag",IF(WEEKDAY(F19,1)=5,"Donderdag",IF(WEEKDAY(F19,1)=6,"Vrijdag","Zaterdag"))))))</f>
        <v>Vrijdag</v>
      </c>
      <c r="F19" s="24">
        <f>F17+1</f>
        <v>45359</v>
      </c>
      <c r="G19" s="25" t="s">
        <v>20</v>
      </c>
      <c r="H19" s="26">
        <v>0.33333333333333331</v>
      </c>
    </row>
    <row r="20" spans="1:8" ht="99.75" customHeight="1" x14ac:dyDescent="0.35">
      <c r="A20" s="38" t="s">
        <v>53</v>
      </c>
      <c r="B20" s="38"/>
      <c r="C20" s="38"/>
      <c r="D20" s="38"/>
      <c r="E20" s="50" t="s">
        <v>58</v>
      </c>
      <c r="F20" s="50"/>
      <c r="G20" s="50"/>
      <c r="H20" s="50"/>
    </row>
    <row r="21" spans="1:8" x14ac:dyDescent="0.35">
      <c r="A21" s="39" t="s">
        <v>21</v>
      </c>
      <c r="B21" s="39"/>
      <c r="C21" s="39"/>
      <c r="D21" s="27">
        <f>D11+D13+D15+D17+D19+H11+H13+H15+H17+H19</f>
        <v>3.25</v>
      </c>
      <c r="E21" s="39" t="s">
        <v>22</v>
      </c>
      <c r="F21" s="39"/>
      <c r="G21" s="39"/>
      <c r="H21" s="27">
        <f>D21+'Werkstaat 1'!H21</f>
        <v>6.604166666666667</v>
      </c>
    </row>
    <row r="22" spans="1:8" x14ac:dyDescent="0.35">
      <c r="A22" s="35" t="s">
        <v>23</v>
      </c>
      <c r="B22" s="35"/>
      <c r="C22" s="35"/>
      <c r="D22" s="16">
        <f>IF(D11&gt;0,1,0)+IF(D13&gt;0,1,0)+IF(D15&gt;0,1,0)+IF(D17&gt;0,1,0)+IF(D19&gt;0,1,0)+IF(H11&gt;0,1,0)+IF(H13&gt;0,1,0)+IF(H15&gt;0,1,0)+IF(H17&gt;0,1,0)+IF(H19&gt;0,1,0)</f>
        <v>10</v>
      </c>
      <c r="E22" s="35" t="s">
        <v>24</v>
      </c>
      <c r="F22" s="35"/>
      <c r="G22" s="35"/>
      <c r="H22" s="16">
        <f>D22+'Werkstaat 1'!H22</f>
        <v>20</v>
      </c>
    </row>
    <row r="23" spans="1:8"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1'!H23</f>
        <v>0</v>
      </c>
    </row>
    <row r="24" spans="1:8"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1'!H24</f>
        <v>0</v>
      </c>
    </row>
    <row r="25" spans="1:8" x14ac:dyDescent="0.35">
      <c r="A25" s="13"/>
      <c r="B25" s="19"/>
      <c r="C25" s="19"/>
      <c r="D25" s="19"/>
      <c r="H25" s="16"/>
    </row>
    <row r="26" spans="1:8" x14ac:dyDescent="0.35">
      <c r="A26" s="15"/>
      <c r="H26" s="16"/>
    </row>
    <row r="27" spans="1:8" x14ac:dyDescent="0.35">
      <c r="A27" s="15" t="s">
        <v>29</v>
      </c>
      <c r="B27" s="37"/>
      <c r="C27" s="37"/>
      <c r="D27" s="37"/>
      <c r="E27" t="s">
        <v>11</v>
      </c>
      <c r="F27" s="34"/>
      <c r="G27" s="34"/>
      <c r="H27" s="34"/>
    </row>
    <row r="28" spans="1:8" x14ac:dyDescent="0.35">
      <c r="A28" s="35" t="s">
        <v>30</v>
      </c>
      <c r="B28" s="49"/>
      <c r="C28" s="49"/>
      <c r="D28" s="49"/>
      <c r="H28" s="16"/>
    </row>
    <row r="29" spans="1:8" x14ac:dyDescent="0.35">
      <c r="A29" s="35"/>
      <c r="B29" s="49"/>
      <c r="C29" s="49"/>
      <c r="D29" s="49"/>
      <c r="H29" s="16"/>
    </row>
    <row r="30" spans="1:8" x14ac:dyDescent="0.35">
      <c r="A30" s="35"/>
      <c r="B30" s="49"/>
      <c r="C30" s="49"/>
      <c r="D30" s="49"/>
      <c r="E30" t="s">
        <v>31</v>
      </c>
      <c r="F30" s="34"/>
      <c r="G30" s="34"/>
      <c r="H30" s="34"/>
    </row>
    <row r="31" spans="1:8" x14ac:dyDescent="0.35">
      <c r="A31" s="17"/>
      <c r="B31" s="21"/>
      <c r="C31" s="21"/>
      <c r="D31" s="21"/>
      <c r="E31" s="21"/>
      <c r="F31" s="21"/>
      <c r="G31" s="21"/>
      <c r="H31" s="18"/>
    </row>
  </sheetData>
  <sheetProtection sheet="1" objects="1" scenarios="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pageSetUpPr fitToPage="1"/>
  </sheetPr>
  <dimension ref="A1:L31"/>
  <sheetViews>
    <sheetView topLeftCell="A14" workbookViewId="0">
      <selection activeCell="E16" sqref="E16:H16"/>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3</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45383</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45362</v>
      </c>
      <c r="C11" s="25" t="s">
        <v>20</v>
      </c>
      <c r="D11" s="26">
        <v>0.33333333333333331</v>
      </c>
      <c r="E11" s="23" t="str">
        <f>IF(WEEKDAY(F11,1)=1,"Zondag",IF(WEEKDAY(F11,1)=2,"Maandag",IF(WEEKDAY(F11,1)=3,"Dinsdag",IF(WEEKDAY(F11,1)=4,"Woensdag",IF(WEEKDAY(F11,1)=5,"Donderdag",IF(WEEKDAY(F11,1)=6,"Vrijdag","Zaterdag"))))))</f>
        <v>Maandag</v>
      </c>
      <c r="F11" s="24">
        <f>B11+7</f>
        <v>45369</v>
      </c>
      <c r="G11" s="25" t="s">
        <v>20</v>
      </c>
      <c r="H11" s="26">
        <v>0.33333333333333331</v>
      </c>
    </row>
    <row r="12" spans="1:12" ht="99.75" customHeight="1" x14ac:dyDescent="0.35">
      <c r="A12" s="41" t="s">
        <v>59</v>
      </c>
      <c r="B12" s="41"/>
      <c r="C12" s="41"/>
      <c r="D12" s="41"/>
      <c r="E12" s="38" t="s">
        <v>65</v>
      </c>
      <c r="F12" s="38"/>
      <c r="G12" s="38"/>
      <c r="H12" s="38"/>
    </row>
    <row r="13" spans="1:12" x14ac:dyDescent="0.35">
      <c r="A13" s="23" t="str">
        <f>IF(WEEKDAY(B13,1)=1,"Zondag",IF(WEEKDAY(B13,1)=2,"Maandag",IF(WEEKDAY(B13,1)=3,"Dinsdag",IF(WEEKDAY(B13,1)=4,"Woensdag",IF(WEEKDAY(B13,1)=5,"Donderdag",IF(WEEKDAY(B13,1)=6,"Vrijdag","Zaterdag"))))))</f>
        <v>Dinsdag</v>
      </c>
      <c r="B13" s="24">
        <f>B11+1</f>
        <v>45363</v>
      </c>
      <c r="C13" s="25" t="s">
        <v>20</v>
      </c>
      <c r="D13" s="26">
        <v>0.33333333333333331</v>
      </c>
      <c r="E13" s="23" t="str">
        <f>IF(WEEKDAY(F13,1)=1,"Zondag",IF(WEEKDAY(F13,1)=2,"Maandag",IF(WEEKDAY(F13,1)=3,"Dinsdag",IF(WEEKDAY(F13,1)=4,"Woensdag",IF(WEEKDAY(F13,1)=5,"Donderdag",IF(WEEKDAY(F13,1)=6,"Vrijdag","Zaterdag"))))))</f>
        <v>Dinsdag</v>
      </c>
      <c r="F13" s="24">
        <f>F11+1</f>
        <v>45370</v>
      </c>
      <c r="G13" s="25" t="s">
        <v>20</v>
      </c>
      <c r="H13" s="26">
        <v>0.33333333333333331</v>
      </c>
    </row>
    <row r="14" spans="1:12" ht="99.75" customHeight="1" x14ac:dyDescent="0.35">
      <c r="A14" s="38" t="s">
        <v>60</v>
      </c>
      <c r="B14" s="38"/>
      <c r="C14" s="38"/>
      <c r="D14" s="38"/>
      <c r="E14" s="38" t="s">
        <v>66</v>
      </c>
      <c r="F14" s="38"/>
      <c r="G14" s="38"/>
      <c r="H14" s="38"/>
    </row>
    <row r="15" spans="1:12" x14ac:dyDescent="0.35">
      <c r="A15" s="23" t="str">
        <f>IF(WEEKDAY(B15,1)=1,"Zondag",IF(WEEKDAY(B15,1)=2,"Maandag",IF(WEEKDAY(B15,1)=3,"Dinsdag",IF(WEEKDAY(B15,1)=4,"Woensdag",IF(WEEKDAY(B15,1)=5,"Donderdag",IF(WEEKDAY(B15,1)=6,"Vrijdag","Zaterdag"))))))</f>
        <v>Woensdag</v>
      </c>
      <c r="B15" s="24">
        <f>B13+1</f>
        <v>45364</v>
      </c>
      <c r="C15" s="25" t="s">
        <v>20</v>
      </c>
      <c r="D15" s="26">
        <v>0.33333333333333331</v>
      </c>
      <c r="E15" s="23" t="str">
        <f>IF(WEEKDAY(F15,1)=1,"Zondag",IF(WEEKDAY(F15,1)=2,"Maandag",IF(WEEKDAY(F15,1)=3,"Dinsdag",IF(WEEKDAY(F15,1)=4,"Woensdag",IF(WEEKDAY(F15,1)=5,"Donderdag",IF(WEEKDAY(F15,1)=6,"Vrijdag","Zaterdag"))))))</f>
        <v>Woensdag</v>
      </c>
      <c r="F15" s="24">
        <f>F13+1</f>
        <v>45371</v>
      </c>
      <c r="G15" s="25" t="s">
        <v>20</v>
      </c>
      <c r="H15" s="26">
        <v>0.33333333333333331</v>
      </c>
    </row>
    <row r="16" spans="1:12" ht="99.75" customHeight="1" x14ac:dyDescent="0.35">
      <c r="A16" s="38" t="s">
        <v>62</v>
      </c>
      <c r="B16" s="38"/>
      <c r="C16" s="38"/>
      <c r="D16" s="38"/>
      <c r="E16" s="38" t="s">
        <v>123</v>
      </c>
      <c r="F16" s="38"/>
      <c r="G16" s="38"/>
      <c r="H16" s="38"/>
    </row>
    <row r="17" spans="1:10" x14ac:dyDescent="0.35">
      <c r="A17" s="23" t="str">
        <f>IF(WEEKDAY(B17,1)=1,"Zondag",IF(WEEKDAY(B17,1)=2,"Maandag",IF(WEEKDAY(B17,1)=3,"Dinsdag",IF(WEEKDAY(B17,1)=4,"Woensdag",IF(WEEKDAY(B17,1)=5,"Donderdag",IF(WEEKDAY(B17,1)=6,"Vrijdag","Zaterdag"))))))</f>
        <v>Donderdag</v>
      </c>
      <c r="B17" s="24">
        <f>B15+1</f>
        <v>45365</v>
      </c>
      <c r="C17" s="25" t="s">
        <v>20</v>
      </c>
      <c r="D17" s="26">
        <v>0.33333333333333331</v>
      </c>
      <c r="E17" s="23" t="str">
        <f>IF(WEEKDAY(F17,1)=1,"Zondag",IF(WEEKDAY(F17,1)=2,"Maandag",IF(WEEKDAY(F17,1)=3,"Dinsdag",IF(WEEKDAY(F17,1)=4,"Woensdag",IF(WEEKDAY(F17,1)=5,"Donderdag",IF(WEEKDAY(F17,1)=6,"Vrijdag","Zaterdag"))))))</f>
        <v>Donderdag</v>
      </c>
      <c r="F17" s="24">
        <f>F15+1</f>
        <v>45372</v>
      </c>
      <c r="G17" s="25" t="s">
        <v>20</v>
      </c>
      <c r="H17" s="26">
        <v>0</v>
      </c>
    </row>
    <row r="18" spans="1:10" ht="99.75" customHeight="1" x14ac:dyDescent="0.35">
      <c r="A18" s="38" t="s">
        <v>63</v>
      </c>
      <c r="B18" s="38"/>
      <c r="C18" s="38"/>
      <c r="D18" s="38"/>
      <c r="E18" s="38" t="s">
        <v>61</v>
      </c>
      <c r="F18" s="38"/>
      <c r="G18" s="38"/>
      <c r="H18" s="38"/>
    </row>
    <row r="19" spans="1:10" x14ac:dyDescent="0.35">
      <c r="A19" s="23" t="str">
        <f>IF(WEEKDAY(B19,1)=1,"Zondag",IF(WEEKDAY(B19,1)=2,"Maandag",IF(WEEKDAY(B19,1)=3,"Dinsdag",IF(WEEKDAY(B19,1)=4,"Woensdag",IF(WEEKDAY(B19,1)=5,"Donderdag",IF(WEEKDAY(B19,1)=6,"Vrijdag","Zaterdag"))))))</f>
        <v>Vrijdag</v>
      </c>
      <c r="B19" s="24">
        <f>B17+1</f>
        <v>45366</v>
      </c>
      <c r="C19" s="25" t="s">
        <v>20</v>
      </c>
      <c r="D19" s="26">
        <v>0.33333333333333331</v>
      </c>
      <c r="E19" s="23" t="str">
        <f>IF(WEEKDAY(F19,1)=1,"Zondag",IF(WEEKDAY(F19,1)=2,"Maandag",IF(WEEKDAY(F19,1)=3,"Dinsdag",IF(WEEKDAY(F19,1)=4,"Woensdag",IF(WEEKDAY(F19,1)=5,"Donderdag",IF(WEEKDAY(F19,1)=6,"Vrijdag","Zaterdag"))))))</f>
        <v>Vrijdag</v>
      </c>
      <c r="F19" s="24">
        <f>F17+1</f>
        <v>45373</v>
      </c>
      <c r="G19" s="25" t="s">
        <v>20</v>
      </c>
      <c r="H19" s="26">
        <v>0</v>
      </c>
    </row>
    <row r="20" spans="1:10" ht="99.75" customHeight="1" x14ac:dyDescent="0.35">
      <c r="A20" s="38" t="s">
        <v>64</v>
      </c>
      <c r="B20" s="38"/>
      <c r="C20" s="38"/>
      <c r="D20" s="38"/>
      <c r="E20" s="38" t="s">
        <v>61</v>
      </c>
      <c r="F20" s="38"/>
      <c r="G20" s="38"/>
      <c r="H20" s="38"/>
    </row>
    <row r="21" spans="1:10" x14ac:dyDescent="0.35">
      <c r="A21" s="39" t="s">
        <v>21</v>
      </c>
      <c r="B21" s="39"/>
      <c r="C21" s="39"/>
      <c r="D21" s="27">
        <f>D11+D13+D15+D17+D19+H11+H13+H15+H17+H19</f>
        <v>2.6666666666666665</v>
      </c>
      <c r="E21" s="39" t="s">
        <v>22</v>
      </c>
      <c r="F21" s="39"/>
      <c r="G21" s="39"/>
      <c r="H21" s="27">
        <f>D21+'Werkstaat 2'!H21</f>
        <v>9.2708333333333339</v>
      </c>
      <c r="J21" s="33"/>
    </row>
    <row r="22" spans="1:10" x14ac:dyDescent="0.35">
      <c r="A22" s="35" t="s">
        <v>23</v>
      </c>
      <c r="B22" s="35"/>
      <c r="C22" s="35"/>
      <c r="D22" s="16">
        <f>IF(D11&gt;0,1,0)+IF(D13&gt;0,1,0)+IF(D15&gt;0,1,0)+IF(D17&gt;0,1,0)+IF(D19&gt;0,1,0)+IF(H11&gt;0,1,0)+IF(H13&gt;0,1,0)+IF(H15&gt;0,1,0)+IF(H17&gt;0,1,0)+IF(H19&gt;0,1,0)</f>
        <v>8</v>
      </c>
      <c r="E22" s="35" t="s">
        <v>24</v>
      </c>
      <c r="F22" s="35"/>
      <c r="G22" s="35"/>
      <c r="H22" s="16">
        <f>D22+'Werkstaat 2'!H22</f>
        <v>28</v>
      </c>
    </row>
    <row r="23" spans="1:10"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2'!H23</f>
        <v>0</v>
      </c>
    </row>
    <row r="24" spans="1:10"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2'!H24</f>
        <v>0</v>
      </c>
    </row>
    <row r="25" spans="1:10" x14ac:dyDescent="0.35">
      <c r="A25" s="13"/>
      <c r="B25" s="19"/>
      <c r="C25" s="19"/>
      <c r="D25" s="19"/>
      <c r="E25" s="19"/>
      <c r="F25" s="19"/>
      <c r="G25" s="19"/>
      <c r="H25" s="14"/>
    </row>
    <row r="26" spans="1:10" x14ac:dyDescent="0.35">
      <c r="A26" s="15"/>
      <c r="H26" s="16"/>
    </row>
    <row r="27" spans="1:10" x14ac:dyDescent="0.35">
      <c r="A27" s="15" t="s">
        <v>29</v>
      </c>
      <c r="B27" s="37"/>
      <c r="C27" s="37"/>
      <c r="D27" s="37"/>
      <c r="E27" t="s">
        <v>11</v>
      </c>
      <c r="F27" s="34"/>
      <c r="G27" s="34"/>
      <c r="H27" s="34"/>
    </row>
    <row r="28" spans="1:10" x14ac:dyDescent="0.35">
      <c r="A28" s="35" t="s">
        <v>30</v>
      </c>
      <c r="B28" s="49"/>
      <c r="C28" s="49"/>
      <c r="D28" s="49"/>
      <c r="H28" s="16"/>
    </row>
    <row r="29" spans="1:10" x14ac:dyDescent="0.35">
      <c r="A29" s="35"/>
      <c r="B29" s="49"/>
      <c r="C29" s="49"/>
      <c r="D29" s="49"/>
      <c r="H29" s="16"/>
    </row>
    <row r="30" spans="1:10" x14ac:dyDescent="0.35">
      <c r="A30" s="35"/>
      <c r="B30" s="49"/>
      <c r="C30" s="49"/>
      <c r="D30" s="49"/>
      <c r="E30" t="s">
        <v>31</v>
      </c>
      <c r="F30" s="34"/>
      <c r="G30" s="34"/>
      <c r="H30" s="34"/>
    </row>
    <row r="31" spans="1:10" x14ac:dyDescent="0.3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fitToPage="1"/>
  </sheetPr>
  <dimension ref="A1:L31"/>
  <sheetViews>
    <sheetView topLeftCell="A14"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4</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45397</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45376</v>
      </c>
      <c r="C11" s="25" t="s">
        <v>20</v>
      </c>
      <c r="D11" s="26">
        <v>0.33333333333333331</v>
      </c>
      <c r="E11" s="23" t="str">
        <f>IF(WEEKDAY(F11,1)=1,"Zondag",IF(WEEKDAY(F11,1)=2,"Maandag",IF(WEEKDAY(F11,1)=3,"Dinsdag",IF(WEEKDAY(F11,1)=4,"Woensdag",IF(WEEKDAY(F11,1)=5,"Donderdag",IF(WEEKDAY(F11,1)=6,"Vrijdag","Zaterdag"))))))</f>
        <v>Maandag</v>
      </c>
      <c r="F11" s="24">
        <f>B11+7</f>
        <v>45383</v>
      </c>
      <c r="G11" s="25" t="s">
        <v>20</v>
      </c>
      <c r="H11" s="26">
        <v>0</v>
      </c>
    </row>
    <row r="12" spans="1:12" ht="99.75" customHeight="1" x14ac:dyDescent="0.35">
      <c r="A12" s="41" t="s">
        <v>67</v>
      </c>
      <c r="B12" s="41"/>
      <c r="C12" s="41"/>
      <c r="D12" s="41"/>
      <c r="E12" s="38" t="s">
        <v>72</v>
      </c>
      <c r="F12" s="38"/>
      <c r="G12" s="38"/>
      <c r="H12" s="38"/>
    </row>
    <row r="13" spans="1:12" x14ac:dyDescent="0.35">
      <c r="A13" s="23" t="str">
        <f>IF(WEEKDAY(B13,1)=1,"Zondag",IF(WEEKDAY(B13,1)=2,"Maandag",IF(WEEKDAY(B13,1)=3,"Dinsdag",IF(WEEKDAY(B13,1)=4,"Woensdag",IF(WEEKDAY(B13,1)=5,"Donderdag",IF(WEEKDAY(B13,1)=6,"Vrijdag","Zaterdag"))))))</f>
        <v>Dinsdag</v>
      </c>
      <c r="B13" s="24">
        <f>B11+1</f>
        <v>45377</v>
      </c>
      <c r="C13" s="25" t="s">
        <v>20</v>
      </c>
      <c r="D13" s="26">
        <v>0.33333333333333331</v>
      </c>
      <c r="E13" s="23" t="str">
        <f>IF(WEEKDAY(F13,1)=1,"Zondag",IF(WEEKDAY(F13,1)=2,"Maandag",IF(WEEKDAY(F13,1)=3,"Dinsdag",IF(WEEKDAY(F13,1)=4,"Woensdag",IF(WEEKDAY(F13,1)=5,"Donderdag",IF(WEEKDAY(F13,1)=6,"Vrijdag","Zaterdag"))))))</f>
        <v>Dinsdag</v>
      </c>
      <c r="F13" s="24">
        <f>F11+1</f>
        <v>45384</v>
      </c>
      <c r="G13" s="25" t="s">
        <v>20</v>
      </c>
      <c r="H13" s="26">
        <v>0.33333333333333331</v>
      </c>
    </row>
    <row r="14" spans="1:12" ht="99.75" customHeight="1" x14ac:dyDescent="0.35">
      <c r="A14" s="38" t="s">
        <v>68</v>
      </c>
      <c r="B14" s="38"/>
      <c r="C14" s="38"/>
      <c r="D14" s="38"/>
      <c r="E14" s="38" t="s">
        <v>73</v>
      </c>
      <c r="F14" s="38"/>
      <c r="G14" s="38"/>
      <c r="H14" s="38"/>
    </row>
    <row r="15" spans="1:12" x14ac:dyDescent="0.35">
      <c r="A15" s="23" t="str">
        <f>IF(WEEKDAY(B15,1)=1,"Zondag",IF(WEEKDAY(B15,1)=2,"Maandag",IF(WEEKDAY(B15,1)=3,"Dinsdag",IF(WEEKDAY(B15,1)=4,"Woensdag",IF(WEEKDAY(B15,1)=5,"Donderdag",IF(WEEKDAY(B15,1)=6,"Vrijdag","Zaterdag"))))))</f>
        <v>Woensdag</v>
      </c>
      <c r="B15" s="24">
        <f>B13+1</f>
        <v>45378</v>
      </c>
      <c r="C15" s="25" t="s">
        <v>20</v>
      </c>
      <c r="D15" s="26">
        <v>0.33333333333333331</v>
      </c>
      <c r="E15" s="23" t="str">
        <f>IF(WEEKDAY(F15,1)=1,"Zondag",IF(WEEKDAY(F15,1)=2,"Maandag",IF(WEEKDAY(F15,1)=3,"Dinsdag",IF(WEEKDAY(F15,1)=4,"Woensdag",IF(WEEKDAY(F15,1)=5,"Donderdag",IF(WEEKDAY(F15,1)=6,"Vrijdag","Zaterdag"))))))</f>
        <v>Woensdag</v>
      </c>
      <c r="F15" s="24">
        <f>F13+1</f>
        <v>45385</v>
      </c>
      <c r="G15" s="25" t="s">
        <v>20</v>
      </c>
      <c r="H15" s="26">
        <v>0</v>
      </c>
    </row>
    <row r="16" spans="1:12" ht="99.75" customHeight="1" x14ac:dyDescent="0.35">
      <c r="A16" s="38" t="s">
        <v>69</v>
      </c>
      <c r="B16" s="38"/>
      <c r="C16" s="38"/>
      <c r="D16" s="38"/>
      <c r="E16" s="38" t="s">
        <v>42</v>
      </c>
      <c r="F16" s="38"/>
      <c r="G16" s="38"/>
      <c r="H16" s="38"/>
    </row>
    <row r="17" spans="1:10" x14ac:dyDescent="0.35">
      <c r="A17" s="23" t="str">
        <f>IF(WEEKDAY(B17,1)=1,"Zondag",IF(WEEKDAY(B17,1)=2,"Maandag",IF(WEEKDAY(B17,1)=3,"Dinsdag",IF(WEEKDAY(B17,1)=4,"Woensdag",IF(WEEKDAY(B17,1)=5,"Donderdag",IF(WEEKDAY(B17,1)=6,"Vrijdag","Zaterdag"))))))</f>
        <v>Donderdag</v>
      </c>
      <c r="B17" s="24">
        <f>B15+1</f>
        <v>45379</v>
      </c>
      <c r="C17" s="25" t="s">
        <v>20</v>
      </c>
      <c r="D17" s="26">
        <v>0.33333333333333331</v>
      </c>
      <c r="E17" s="23" t="str">
        <f>IF(WEEKDAY(F17,1)=1,"Zondag",IF(WEEKDAY(F17,1)=2,"Maandag",IF(WEEKDAY(F17,1)=3,"Dinsdag",IF(WEEKDAY(F17,1)=4,"Woensdag",IF(WEEKDAY(F17,1)=5,"Donderdag",IF(WEEKDAY(F17,1)=6,"Vrijdag","Zaterdag"))))))</f>
        <v>Donderdag</v>
      </c>
      <c r="F17" s="24">
        <f>F15+1</f>
        <v>45386</v>
      </c>
      <c r="G17" s="25" t="s">
        <v>20</v>
      </c>
      <c r="H17" s="26">
        <v>0.33333333333333331</v>
      </c>
    </row>
    <row r="18" spans="1:10" ht="99.75" customHeight="1" x14ac:dyDescent="0.35">
      <c r="A18" s="38" t="s">
        <v>70</v>
      </c>
      <c r="B18" s="38"/>
      <c r="C18" s="38"/>
      <c r="D18" s="38"/>
      <c r="E18" s="38" t="s">
        <v>74</v>
      </c>
      <c r="F18" s="38"/>
      <c r="G18" s="38"/>
      <c r="H18" s="38"/>
    </row>
    <row r="19" spans="1:10" x14ac:dyDescent="0.35">
      <c r="A19" s="23" t="str">
        <f>IF(WEEKDAY(B19,1)=1,"Zondag",IF(WEEKDAY(B19,1)=2,"Maandag",IF(WEEKDAY(B19,1)=3,"Dinsdag",IF(WEEKDAY(B19,1)=4,"Woensdag",IF(WEEKDAY(B19,1)=5,"Donderdag",IF(WEEKDAY(B19,1)=6,"Vrijdag","Zaterdag"))))))</f>
        <v>Vrijdag</v>
      </c>
      <c r="B19" s="24">
        <f>B17+1</f>
        <v>45380</v>
      </c>
      <c r="C19" s="25" t="s">
        <v>20</v>
      </c>
      <c r="D19" s="26">
        <v>0.33333333333333331</v>
      </c>
      <c r="E19" s="23" t="str">
        <f>IF(WEEKDAY(F19,1)=1,"Zondag",IF(WEEKDAY(F19,1)=2,"Maandag",IF(WEEKDAY(F19,1)=3,"Dinsdag",IF(WEEKDAY(F19,1)=4,"Woensdag",IF(WEEKDAY(F19,1)=5,"Donderdag",IF(WEEKDAY(F19,1)=6,"Vrijdag","Zaterdag"))))))</f>
        <v>Vrijdag</v>
      </c>
      <c r="F19" s="24">
        <f>F17+1</f>
        <v>45387</v>
      </c>
      <c r="G19" s="25" t="s">
        <v>20</v>
      </c>
      <c r="H19" s="26">
        <v>0.33333333333333331</v>
      </c>
    </row>
    <row r="20" spans="1:10" ht="99.75" customHeight="1" x14ac:dyDescent="0.35">
      <c r="A20" s="38" t="s">
        <v>71</v>
      </c>
      <c r="B20" s="38"/>
      <c r="C20" s="38"/>
      <c r="D20" s="38"/>
      <c r="E20" s="38" t="s">
        <v>75</v>
      </c>
      <c r="F20" s="38"/>
      <c r="G20" s="38"/>
      <c r="H20" s="38"/>
    </row>
    <row r="21" spans="1:10" x14ac:dyDescent="0.35">
      <c r="A21" s="39" t="s">
        <v>21</v>
      </c>
      <c r="B21" s="39"/>
      <c r="C21" s="39"/>
      <c r="D21" s="27">
        <f>D11+D13+D15+D17+D19+H11+H13+H15+H17+H19</f>
        <v>2.6666666666666665</v>
      </c>
      <c r="E21" s="39" t="s">
        <v>22</v>
      </c>
      <c r="F21" s="39"/>
      <c r="G21" s="39"/>
      <c r="H21" s="27">
        <f>D21+'Werkstaat 3'!H21</f>
        <v>11.9375</v>
      </c>
      <c r="J21" s="33"/>
    </row>
    <row r="22" spans="1:10" x14ac:dyDescent="0.35">
      <c r="A22" s="35" t="s">
        <v>23</v>
      </c>
      <c r="B22" s="35"/>
      <c r="C22" s="35"/>
      <c r="D22" s="16">
        <f>IF(D11&gt;0,1,0)+IF(D13&gt;0,1,0)+IF(D15&gt;0,1,0)+IF(D17&gt;0,1,0)+IF(D19&gt;0,1,0)+IF(H11&gt;0,1,0)+IF(H13&gt;0,1,0)+IF(H15&gt;0,1,0)+IF(H17&gt;0,1,0)+IF(H19&gt;0,1,0)</f>
        <v>8</v>
      </c>
      <c r="E22" s="35" t="s">
        <v>24</v>
      </c>
      <c r="F22" s="35"/>
      <c r="G22" s="35"/>
      <c r="H22" s="16">
        <f>D22+'Werkstaat 3'!H22</f>
        <v>36</v>
      </c>
    </row>
    <row r="23" spans="1:10"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3'!H23</f>
        <v>0</v>
      </c>
    </row>
    <row r="24" spans="1:10"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1</v>
      </c>
      <c r="E24" s="36" t="s">
        <v>28</v>
      </c>
      <c r="F24" s="36"/>
      <c r="G24" s="36"/>
      <c r="H24" s="18">
        <f>D24+'Werkstaat 3'!H24</f>
        <v>1</v>
      </c>
    </row>
    <row r="25" spans="1:10" x14ac:dyDescent="0.35">
      <c r="A25" s="13"/>
      <c r="B25" s="19"/>
      <c r="C25" s="19"/>
      <c r="D25" s="19"/>
      <c r="E25" s="19"/>
      <c r="F25" s="19"/>
      <c r="G25" s="19"/>
      <c r="H25" s="14"/>
    </row>
    <row r="26" spans="1:10" x14ac:dyDescent="0.35">
      <c r="A26" s="15"/>
      <c r="H26" s="16"/>
    </row>
    <row r="27" spans="1:10" x14ac:dyDescent="0.35">
      <c r="A27" s="15" t="s">
        <v>29</v>
      </c>
      <c r="B27" s="37"/>
      <c r="C27" s="37"/>
      <c r="D27" s="37"/>
      <c r="E27" t="s">
        <v>11</v>
      </c>
      <c r="F27" s="34"/>
      <c r="G27" s="34"/>
      <c r="H27" s="34"/>
    </row>
    <row r="28" spans="1:10" x14ac:dyDescent="0.35">
      <c r="A28" s="35" t="s">
        <v>30</v>
      </c>
      <c r="B28" s="49"/>
      <c r="C28" s="49"/>
      <c r="D28" s="49"/>
      <c r="H28" s="16"/>
    </row>
    <row r="29" spans="1:10" x14ac:dyDescent="0.35">
      <c r="A29" s="35"/>
      <c r="B29" s="49"/>
      <c r="C29" s="49"/>
      <c r="D29" s="49"/>
      <c r="H29" s="16"/>
    </row>
    <row r="30" spans="1:10" x14ac:dyDescent="0.35">
      <c r="A30" s="35"/>
      <c r="B30" s="49"/>
      <c r="C30" s="49"/>
      <c r="D30" s="49"/>
      <c r="E30" t="s">
        <v>31</v>
      </c>
      <c r="F30" s="34"/>
      <c r="G30" s="34"/>
      <c r="H30" s="34"/>
    </row>
    <row r="31" spans="1:10" x14ac:dyDescent="0.3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pageSetUpPr fitToPage="1"/>
  </sheetPr>
  <dimension ref="A1:L31"/>
  <sheetViews>
    <sheetView topLeftCell="A16"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5</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45411</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45390</v>
      </c>
      <c r="C11" s="25" t="s">
        <v>20</v>
      </c>
      <c r="D11" s="26">
        <v>0.33333333333333331</v>
      </c>
      <c r="E11" s="23" t="str">
        <f>IF(WEEKDAY(F11,1)=1,"Zondag",IF(WEEKDAY(F11,1)=2,"Maandag",IF(WEEKDAY(F11,1)=3,"Dinsdag",IF(WEEKDAY(F11,1)=4,"Woensdag",IF(WEEKDAY(F11,1)=5,"Donderdag",IF(WEEKDAY(F11,1)=6,"Vrijdag","Zaterdag"))))))</f>
        <v>Maandag</v>
      </c>
      <c r="F11" s="24">
        <f>B11+7</f>
        <v>45397</v>
      </c>
      <c r="G11" s="25" t="s">
        <v>20</v>
      </c>
      <c r="H11" s="26">
        <v>0.33333333333333331</v>
      </c>
    </row>
    <row r="12" spans="1:12" ht="99.75" customHeight="1" x14ac:dyDescent="0.35">
      <c r="A12" s="41" t="s">
        <v>76</v>
      </c>
      <c r="B12" s="41"/>
      <c r="C12" s="41"/>
      <c r="D12" s="41"/>
      <c r="E12" s="38" t="s">
        <v>80</v>
      </c>
      <c r="F12" s="38"/>
      <c r="G12" s="38"/>
      <c r="H12" s="38"/>
    </row>
    <row r="13" spans="1:12" x14ac:dyDescent="0.35">
      <c r="A13" s="23" t="str">
        <f>IF(WEEKDAY(B13,1)=1,"Zondag",IF(WEEKDAY(B13,1)=2,"Maandag",IF(WEEKDAY(B13,1)=3,"Dinsdag",IF(WEEKDAY(B13,1)=4,"Woensdag",IF(WEEKDAY(B13,1)=5,"Donderdag",IF(WEEKDAY(B13,1)=6,"Vrijdag","Zaterdag"))))))</f>
        <v>Dinsdag</v>
      </c>
      <c r="B13" s="24">
        <f>B11+1</f>
        <v>45391</v>
      </c>
      <c r="C13" s="25" t="s">
        <v>20</v>
      </c>
      <c r="D13" s="26">
        <v>0.33333333333333331</v>
      </c>
      <c r="E13" s="23" t="str">
        <f>IF(WEEKDAY(F13,1)=1,"Zondag",IF(WEEKDAY(F13,1)=2,"Maandag",IF(WEEKDAY(F13,1)=3,"Dinsdag",IF(WEEKDAY(F13,1)=4,"Woensdag",IF(WEEKDAY(F13,1)=5,"Donderdag",IF(WEEKDAY(F13,1)=6,"Vrijdag","Zaterdag"))))))</f>
        <v>Dinsdag</v>
      </c>
      <c r="F13" s="24">
        <f>F11+1</f>
        <v>45398</v>
      </c>
      <c r="G13" s="25" t="s">
        <v>20</v>
      </c>
      <c r="H13" s="26">
        <v>0.33333333333333331</v>
      </c>
    </row>
    <row r="14" spans="1:12" ht="99.75" customHeight="1" x14ac:dyDescent="0.35">
      <c r="A14" s="38" t="s">
        <v>77</v>
      </c>
      <c r="B14" s="38"/>
      <c r="C14" s="38"/>
      <c r="D14" s="38"/>
      <c r="E14" s="38" t="s">
        <v>81</v>
      </c>
      <c r="F14" s="38"/>
      <c r="G14" s="38"/>
      <c r="H14" s="38"/>
    </row>
    <row r="15" spans="1:12" x14ac:dyDescent="0.35">
      <c r="A15" s="23" t="str">
        <f>IF(WEEKDAY(B15,1)=1,"Zondag",IF(WEEKDAY(B15,1)=2,"Maandag",IF(WEEKDAY(B15,1)=3,"Dinsdag",IF(WEEKDAY(B15,1)=4,"Woensdag",IF(WEEKDAY(B15,1)=5,"Donderdag",IF(WEEKDAY(B15,1)=6,"Vrijdag","Zaterdag"))))))</f>
        <v>Woensdag</v>
      </c>
      <c r="B15" s="24">
        <f>B13+1</f>
        <v>45392</v>
      </c>
      <c r="C15" s="25" t="s">
        <v>20</v>
      </c>
      <c r="D15" s="26">
        <v>0.33333333333333331</v>
      </c>
      <c r="E15" s="23" t="str">
        <f>IF(WEEKDAY(F15,1)=1,"Zondag",IF(WEEKDAY(F15,1)=2,"Maandag",IF(WEEKDAY(F15,1)=3,"Dinsdag",IF(WEEKDAY(F15,1)=4,"Woensdag",IF(WEEKDAY(F15,1)=5,"Donderdag",IF(WEEKDAY(F15,1)=6,"Vrijdag","Zaterdag"))))))</f>
        <v>Woensdag</v>
      </c>
      <c r="F15" s="24">
        <f>F13+1</f>
        <v>45399</v>
      </c>
      <c r="G15" s="25" t="s">
        <v>20</v>
      </c>
      <c r="H15" s="26">
        <v>0.33333333333333331</v>
      </c>
    </row>
    <row r="16" spans="1:12" ht="99.75" customHeight="1" x14ac:dyDescent="0.35">
      <c r="A16" s="38" t="s">
        <v>78</v>
      </c>
      <c r="B16" s="38"/>
      <c r="C16" s="38"/>
      <c r="D16" s="38"/>
      <c r="E16" s="38" t="s">
        <v>82</v>
      </c>
      <c r="F16" s="38"/>
      <c r="G16" s="38"/>
      <c r="H16" s="38"/>
    </row>
    <row r="17" spans="1:10" x14ac:dyDescent="0.35">
      <c r="A17" s="23" t="str">
        <f>IF(WEEKDAY(B17,1)=1,"Zondag",IF(WEEKDAY(B17,1)=2,"Maandag",IF(WEEKDAY(B17,1)=3,"Dinsdag",IF(WEEKDAY(B17,1)=4,"Woensdag",IF(WEEKDAY(B17,1)=5,"Donderdag",IF(WEEKDAY(B17,1)=6,"Vrijdag","Zaterdag"))))))</f>
        <v>Donderdag</v>
      </c>
      <c r="B17" s="24">
        <f>B15+1</f>
        <v>45393</v>
      </c>
      <c r="C17" s="25" t="s">
        <v>20</v>
      </c>
      <c r="D17" s="26">
        <v>0.33333333333333331</v>
      </c>
      <c r="E17" s="23" t="str">
        <f>IF(WEEKDAY(F17,1)=1,"Zondag",IF(WEEKDAY(F17,1)=2,"Maandag",IF(WEEKDAY(F17,1)=3,"Dinsdag",IF(WEEKDAY(F17,1)=4,"Woensdag",IF(WEEKDAY(F17,1)=5,"Donderdag",IF(WEEKDAY(F17,1)=6,"Vrijdag","Zaterdag"))))))</f>
        <v>Donderdag</v>
      </c>
      <c r="F17" s="24">
        <f>F15+1</f>
        <v>45400</v>
      </c>
      <c r="G17" s="25" t="s">
        <v>20</v>
      </c>
      <c r="H17" s="26">
        <v>0.33333333333333331</v>
      </c>
    </row>
    <row r="18" spans="1:10" ht="99.75" customHeight="1" x14ac:dyDescent="0.35">
      <c r="A18" s="38" t="s">
        <v>79</v>
      </c>
      <c r="B18" s="38"/>
      <c r="C18" s="38"/>
      <c r="D18" s="38"/>
      <c r="E18" s="38" t="s">
        <v>83</v>
      </c>
      <c r="F18" s="38"/>
      <c r="G18" s="38"/>
      <c r="H18" s="38"/>
    </row>
    <row r="19" spans="1:10" x14ac:dyDescent="0.35">
      <c r="A19" s="23" t="str">
        <f>IF(WEEKDAY(B19,1)=1,"Zondag",IF(WEEKDAY(B19,1)=2,"Maandag",IF(WEEKDAY(B19,1)=3,"Dinsdag",IF(WEEKDAY(B19,1)=4,"Woensdag",IF(WEEKDAY(B19,1)=5,"Donderdag",IF(WEEKDAY(B19,1)=6,"Vrijdag","Zaterdag"))))))</f>
        <v>Vrijdag</v>
      </c>
      <c r="B19" s="24">
        <f>B17+1</f>
        <v>45394</v>
      </c>
      <c r="C19" s="25" t="s">
        <v>20</v>
      </c>
      <c r="D19" s="26">
        <v>0.16666666666666666</v>
      </c>
      <c r="E19" s="23" t="str">
        <f>IF(WEEKDAY(F19,1)=1,"Zondag",IF(WEEKDAY(F19,1)=2,"Maandag",IF(WEEKDAY(F19,1)=3,"Dinsdag",IF(WEEKDAY(F19,1)=4,"Woensdag",IF(WEEKDAY(F19,1)=5,"Donderdag",IF(WEEKDAY(F19,1)=6,"Vrijdag","Zaterdag"))))))</f>
        <v>Vrijdag</v>
      </c>
      <c r="F19" s="24">
        <f>F17+1</f>
        <v>45401</v>
      </c>
      <c r="G19" s="25" t="s">
        <v>20</v>
      </c>
      <c r="H19" s="26">
        <v>0.33333333333333331</v>
      </c>
    </row>
    <row r="20" spans="1:10" ht="99.75" customHeight="1" x14ac:dyDescent="0.35">
      <c r="A20" s="38" t="s">
        <v>124</v>
      </c>
      <c r="B20" s="38"/>
      <c r="C20" s="38"/>
      <c r="D20" s="38"/>
      <c r="E20" s="38" t="s">
        <v>125</v>
      </c>
      <c r="F20" s="38"/>
      <c r="G20" s="38"/>
      <c r="H20" s="38"/>
    </row>
    <row r="21" spans="1:10" x14ac:dyDescent="0.35">
      <c r="A21" s="39" t="s">
        <v>21</v>
      </c>
      <c r="B21" s="39"/>
      <c r="C21" s="39"/>
      <c r="D21" s="27">
        <f>D11+D13+D15+D17+D19+H11+H13+H15+H17+H19</f>
        <v>3.166666666666667</v>
      </c>
      <c r="E21" s="39" t="s">
        <v>22</v>
      </c>
      <c r="F21" s="39"/>
      <c r="G21" s="39"/>
      <c r="H21" s="27">
        <f>D21+'Werkstaat 4'!H21</f>
        <v>15.104166666666668</v>
      </c>
      <c r="J21" s="33"/>
    </row>
    <row r="22" spans="1:10" x14ac:dyDescent="0.35">
      <c r="A22" s="35" t="s">
        <v>23</v>
      </c>
      <c r="B22" s="35"/>
      <c r="C22" s="35"/>
      <c r="D22" s="16">
        <f>IF(D11&gt;0,1,0)+IF(D13&gt;0,1,0)+IF(D15&gt;0,1,0)+IF(D17&gt;0,1,0)+IF(D19&gt;0,1,0)+IF(H11&gt;0,1,0)+IF(H13&gt;0,1,0)+IF(H15&gt;0,1,0)+IF(H17&gt;0,1,0)+IF(H19&gt;0,1,0)</f>
        <v>10</v>
      </c>
      <c r="E22" s="35" t="s">
        <v>24</v>
      </c>
      <c r="F22" s="35"/>
      <c r="G22" s="35"/>
      <c r="H22" s="16">
        <f>D22+'Werkstaat 4'!H22</f>
        <v>46</v>
      </c>
    </row>
    <row r="23" spans="1:10"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4'!H23</f>
        <v>0</v>
      </c>
    </row>
    <row r="24" spans="1:10"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4'!H24</f>
        <v>1</v>
      </c>
    </row>
    <row r="25" spans="1:10" x14ac:dyDescent="0.35">
      <c r="A25" s="13"/>
      <c r="B25" s="19"/>
      <c r="C25" s="19"/>
      <c r="D25" s="19"/>
      <c r="E25" s="19"/>
      <c r="F25" s="19"/>
      <c r="G25" s="19"/>
      <c r="H25" s="14"/>
    </row>
    <row r="26" spans="1:10" x14ac:dyDescent="0.35">
      <c r="A26" s="15"/>
      <c r="H26" s="16"/>
    </row>
    <row r="27" spans="1:10" x14ac:dyDescent="0.35">
      <c r="A27" s="15" t="s">
        <v>29</v>
      </c>
      <c r="B27" s="37"/>
      <c r="C27" s="37"/>
      <c r="D27" s="37"/>
      <c r="E27" t="s">
        <v>11</v>
      </c>
      <c r="F27" s="34"/>
      <c r="G27" s="34"/>
      <c r="H27" s="34"/>
    </row>
    <row r="28" spans="1:10" x14ac:dyDescent="0.35">
      <c r="A28" s="35" t="s">
        <v>30</v>
      </c>
      <c r="B28" s="49"/>
      <c r="C28" s="49"/>
      <c r="D28" s="49"/>
      <c r="H28" s="16"/>
    </row>
    <row r="29" spans="1:10" x14ac:dyDescent="0.35">
      <c r="A29" s="35"/>
      <c r="B29" s="49"/>
      <c r="C29" s="49"/>
      <c r="D29" s="49"/>
      <c r="H29" s="16"/>
    </row>
    <row r="30" spans="1:10" x14ac:dyDescent="0.35">
      <c r="A30" s="35"/>
      <c r="B30" s="49"/>
      <c r="C30" s="49"/>
      <c r="D30" s="49"/>
      <c r="E30" t="s">
        <v>31</v>
      </c>
      <c r="F30" s="34"/>
      <c r="G30" s="34"/>
      <c r="H30" s="34"/>
    </row>
    <row r="31" spans="1:10" x14ac:dyDescent="0.3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pageSetUpPr fitToPage="1"/>
  </sheetPr>
  <dimension ref="A1:L31"/>
  <sheetViews>
    <sheetView topLeftCell="A14"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6</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45425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45404</v>
      </c>
      <c r="C11" s="25" t="s">
        <v>20</v>
      </c>
      <c r="D11" s="26">
        <v>0.33333333333333331</v>
      </c>
      <c r="E11" s="23" t="str">
        <f>IF(WEEKDAY(F11,1)=1,"Zondag",IF(WEEKDAY(F11,1)=2,"Maandag",IF(WEEKDAY(F11,1)=3,"Dinsdag",IF(WEEKDAY(F11,1)=4,"Woensdag",IF(WEEKDAY(F11,1)=5,"Donderdag",IF(WEEKDAY(F11,1)=6,"Vrijdag","Zaterdag"))))))</f>
        <v>Maandag</v>
      </c>
      <c r="F11" s="24">
        <f>B11+7</f>
        <v>45411</v>
      </c>
      <c r="G11" s="25" t="s">
        <v>20</v>
      </c>
      <c r="H11" s="26">
        <v>0.33333333333333331</v>
      </c>
    </row>
    <row r="12" spans="1:12" ht="99.75" customHeight="1" x14ac:dyDescent="0.35">
      <c r="A12" s="41" t="s">
        <v>84</v>
      </c>
      <c r="B12" s="41"/>
      <c r="C12" s="41"/>
      <c r="D12" s="41"/>
      <c r="E12" s="38" t="s">
        <v>89</v>
      </c>
      <c r="F12" s="38"/>
      <c r="G12" s="38"/>
      <c r="H12" s="38"/>
    </row>
    <row r="13" spans="1:12" x14ac:dyDescent="0.35">
      <c r="A13" s="23" t="str">
        <f>IF(WEEKDAY(B13,1)=1,"Zondag",IF(WEEKDAY(B13,1)=2,"Maandag",IF(WEEKDAY(B13,1)=3,"Dinsdag",IF(WEEKDAY(B13,1)=4,"Woensdag",IF(WEEKDAY(B13,1)=5,"Donderdag",IF(WEEKDAY(B13,1)=6,"Vrijdag","Zaterdag"))))))</f>
        <v>Dinsdag</v>
      </c>
      <c r="B13" s="24">
        <f>B11+1</f>
        <v>45405</v>
      </c>
      <c r="C13" s="25" t="s">
        <v>20</v>
      </c>
      <c r="D13" s="26">
        <v>0</v>
      </c>
      <c r="E13" s="23" t="str">
        <f>IF(WEEKDAY(F13,1)=1,"Zondag",IF(WEEKDAY(F13,1)=2,"Maandag",IF(WEEKDAY(F13,1)=3,"Dinsdag",IF(WEEKDAY(F13,1)=4,"Woensdag",IF(WEEKDAY(F13,1)=5,"Donderdag",IF(WEEKDAY(F13,1)=6,"Vrijdag","Zaterdag"))))))</f>
        <v>Dinsdag</v>
      </c>
      <c r="F13" s="24">
        <f>F11+1</f>
        <v>45412</v>
      </c>
      <c r="G13" s="25" t="s">
        <v>20</v>
      </c>
      <c r="H13" s="26">
        <v>0.20833333333333334</v>
      </c>
    </row>
    <row r="14" spans="1:12" ht="99.75" customHeight="1" x14ac:dyDescent="0.35">
      <c r="A14" s="38" t="s">
        <v>85</v>
      </c>
      <c r="B14" s="38"/>
      <c r="C14" s="38"/>
      <c r="D14" s="38"/>
      <c r="E14" s="38" t="s">
        <v>90</v>
      </c>
      <c r="F14" s="38"/>
      <c r="G14" s="38"/>
      <c r="H14" s="38"/>
    </row>
    <row r="15" spans="1:12" x14ac:dyDescent="0.35">
      <c r="A15" s="23" t="str">
        <f>IF(WEEKDAY(B15,1)=1,"Zondag",IF(WEEKDAY(B15,1)=2,"Maandag",IF(WEEKDAY(B15,1)=3,"Dinsdag",IF(WEEKDAY(B15,1)=4,"Woensdag",IF(WEEKDAY(B15,1)=5,"Donderdag",IF(WEEKDAY(B15,1)=6,"Vrijdag","Zaterdag"))))))</f>
        <v>Woensdag</v>
      </c>
      <c r="B15" s="24">
        <f>B13+1</f>
        <v>45406</v>
      </c>
      <c r="C15" s="25" t="s">
        <v>20</v>
      </c>
      <c r="D15" s="26">
        <v>0</v>
      </c>
      <c r="E15" s="23" t="str">
        <f>IF(WEEKDAY(F15,1)=1,"Zondag",IF(WEEKDAY(F15,1)=2,"Maandag",IF(WEEKDAY(F15,1)=3,"Dinsdag",IF(WEEKDAY(F15,1)=4,"Woensdag",IF(WEEKDAY(F15,1)=5,"Donderdag",IF(WEEKDAY(F15,1)=6,"Vrijdag","Zaterdag"))))))</f>
        <v>Woensdag</v>
      </c>
      <c r="F15" s="24">
        <f>F13+1</f>
        <v>45413</v>
      </c>
      <c r="G15" s="25" t="s">
        <v>20</v>
      </c>
      <c r="H15" s="26">
        <v>0.33333333333333331</v>
      </c>
    </row>
    <row r="16" spans="1:12" ht="99.75" customHeight="1" x14ac:dyDescent="0.35">
      <c r="A16" s="38" t="s">
        <v>86</v>
      </c>
      <c r="B16" s="38"/>
      <c r="C16" s="38"/>
      <c r="D16" s="38"/>
      <c r="E16" s="38" t="s">
        <v>91</v>
      </c>
      <c r="F16" s="38"/>
      <c r="G16" s="38"/>
      <c r="H16" s="38"/>
    </row>
    <row r="17" spans="1:10" x14ac:dyDescent="0.35">
      <c r="A17" s="23" t="str">
        <f>IF(WEEKDAY(B17,1)=1,"Zondag",IF(WEEKDAY(B17,1)=2,"Maandag",IF(WEEKDAY(B17,1)=3,"Dinsdag",IF(WEEKDAY(B17,1)=4,"Woensdag",IF(WEEKDAY(B17,1)=5,"Donderdag",IF(WEEKDAY(B17,1)=6,"Vrijdag","Zaterdag"))))))</f>
        <v>Donderdag</v>
      </c>
      <c r="B17" s="24">
        <f>B15+1</f>
        <v>45407</v>
      </c>
      <c r="C17" s="25" t="s">
        <v>20</v>
      </c>
      <c r="D17" s="26">
        <v>0.33333333333333331</v>
      </c>
      <c r="E17" s="23" t="str">
        <f>IF(WEEKDAY(F17,1)=1,"Zondag",IF(WEEKDAY(F17,1)=2,"Maandag",IF(WEEKDAY(F17,1)=3,"Dinsdag",IF(WEEKDAY(F17,1)=4,"Woensdag",IF(WEEKDAY(F17,1)=5,"Donderdag",IF(WEEKDAY(F17,1)=6,"Vrijdag","Zaterdag"))))))</f>
        <v>Donderdag</v>
      </c>
      <c r="F17" s="24">
        <f>F15+1</f>
        <v>45414</v>
      </c>
      <c r="G17" s="25" t="s">
        <v>20</v>
      </c>
      <c r="H17" s="26">
        <v>0.33333333333333331</v>
      </c>
    </row>
    <row r="18" spans="1:10" ht="99.75" customHeight="1" x14ac:dyDescent="0.35">
      <c r="A18" s="38" t="s">
        <v>87</v>
      </c>
      <c r="B18" s="38"/>
      <c r="C18" s="38"/>
      <c r="D18" s="38"/>
      <c r="E18" s="38" t="s">
        <v>92</v>
      </c>
      <c r="F18" s="38"/>
      <c r="G18" s="38"/>
      <c r="H18" s="38"/>
    </row>
    <row r="19" spans="1:10" x14ac:dyDescent="0.35">
      <c r="A19" s="23" t="str">
        <f>IF(WEEKDAY(B19,1)=1,"Zondag",IF(WEEKDAY(B19,1)=2,"Maandag",IF(WEEKDAY(B19,1)=3,"Dinsdag",IF(WEEKDAY(B19,1)=4,"Woensdag",IF(WEEKDAY(B19,1)=5,"Donderdag",IF(WEEKDAY(B19,1)=6,"Vrijdag","Zaterdag"))))))</f>
        <v>Vrijdag</v>
      </c>
      <c r="B19" s="24">
        <f>B17+1</f>
        <v>45408</v>
      </c>
      <c r="C19" s="25" t="s">
        <v>20</v>
      </c>
      <c r="D19" s="26">
        <v>0.33333333333333331</v>
      </c>
      <c r="E19" s="23" t="str">
        <f>IF(WEEKDAY(F19,1)=1,"Zondag",IF(WEEKDAY(F19,1)=2,"Maandag",IF(WEEKDAY(F19,1)=3,"Dinsdag",IF(WEEKDAY(F19,1)=4,"Woensdag",IF(WEEKDAY(F19,1)=5,"Donderdag",IF(WEEKDAY(F19,1)=6,"Vrijdag","Zaterdag"))))))</f>
        <v>Vrijdag</v>
      </c>
      <c r="F19" s="24">
        <f>F17+1</f>
        <v>45415</v>
      </c>
      <c r="G19" s="25" t="s">
        <v>20</v>
      </c>
      <c r="H19" s="26">
        <v>0.33333333333333331</v>
      </c>
    </row>
    <row r="20" spans="1:10" ht="99.75" customHeight="1" x14ac:dyDescent="0.35">
      <c r="A20" s="38" t="s">
        <v>88</v>
      </c>
      <c r="B20" s="38"/>
      <c r="C20" s="38"/>
      <c r="D20" s="38"/>
      <c r="E20" s="50" t="s">
        <v>93</v>
      </c>
      <c r="F20" s="50"/>
      <c r="G20" s="50"/>
      <c r="H20" s="50"/>
    </row>
    <row r="21" spans="1:10" x14ac:dyDescent="0.35">
      <c r="A21" s="39" t="s">
        <v>21</v>
      </c>
      <c r="B21" s="39"/>
      <c r="C21" s="39"/>
      <c r="D21" s="27">
        <f>D11+D13+D15+D17+D19+H11+H13+H15+H17+H19</f>
        <v>2.5416666666666665</v>
      </c>
      <c r="E21" s="39" t="s">
        <v>22</v>
      </c>
      <c r="F21" s="39"/>
      <c r="G21" s="39"/>
      <c r="H21" s="27">
        <f>D21+'Werkstaat 5'!H21</f>
        <v>17.645833333333336</v>
      </c>
      <c r="J21" s="33"/>
    </row>
    <row r="22" spans="1:10" x14ac:dyDescent="0.35">
      <c r="A22" s="35" t="s">
        <v>23</v>
      </c>
      <c r="B22" s="35"/>
      <c r="C22" s="35"/>
      <c r="D22" s="16">
        <f>IF(D11&gt;0,1,0)+IF(D13&gt;0,1,0)+IF(D15&gt;0,1,0)+IF(D17&gt;0,1,0)+IF(D19&gt;0,1,0)+IF(H11&gt;0,1,0)+IF(H13&gt;0,1,0)+IF(H15&gt;0,1,0)+IF(H17&gt;0,1,0)+IF(H19&gt;0,1,0)</f>
        <v>8</v>
      </c>
      <c r="E22" s="35" t="s">
        <v>24</v>
      </c>
      <c r="F22" s="35"/>
      <c r="G22" s="35"/>
      <c r="H22" s="16">
        <f>D22+'Werkstaat 5'!H22</f>
        <v>54</v>
      </c>
    </row>
    <row r="23" spans="1:10"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5'!H23</f>
        <v>0</v>
      </c>
    </row>
    <row r="24" spans="1:10"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1</v>
      </c>
      <c r="E24" s="36" t="s">
        <v>28</v>
      </c>
      <c r="F24" s="36"/>
      <c r="G24" s="36"/>
      <c r="H24" s="18">
        <f>D24+'Werkstaat 5'!H24</f>
        <v>2</v>
      </c>
    </row>
    <row r="25" spans="1:10" x14ac:dyDescent="0.35">
      <c r="A25" s="13"/>
      <c r="B25" s="19"/>
      <c r="C25" s="19"/>
      <c r="D25" s="19"/>
      <c r="H25" s="16"/>
    </row>
    <row r="26" spans="1:10" x14ac:dyDescent="0.35">
      <c r="A26" s="15"/>
      <c r="H26" s="16"/>
    </row>
    <row r="27" spans="1:10" x14ac:dyDescent="0.35">
      <c r="A27" s="15" t="s">
        <v>29</v>
      </c>
      <c r="B27" s="37"/>
      <c r="C27" s="37"/>
      <c r="D27" s="37"/>
      <c r="E27" t="s">
        <v>11</v>
      </c>
      <c r="F27" s="34"/>
      <c r="G27" s="34"/>
      <c r="H27" s="34"/>
    </row>
    <row r="28" spans="1:10" x14ac:dyDescent="0.35">
      <c r="A28" s="35" t="s">
        <v>30</v>
      </c>
      <c r="B28" s="49"/>
      <c r="C28" s="49"/>
      <c r="D28" s="49"/>
      <c r="H28" s="16"/>
    </row>
    <row r="29" spans="1:10" x14ac:dyDescent="0.35">
      <c r="A29" s="35"/>
      <c r="B29" s="49"/>
      <c r="C29" s="49"/>
      <c r="D29" s="49"/>
      <c r="H29" s="16"/>
    </row>
    <row r="30" spans="1:10" x14ac:dyDescent="0.35">
      <c r="A30" s="35"/>
      <c r="B30" s="49"/>
      <c r="C30" s="49"/>
      <c r="D30" s="49"/>
      <c r="E30" t="s">
        <v>31</v>
      </c>
      <c r="F30" s="34"/>
      <c r="G30" s="34"/>
      <c r="H30" s="34"/>
    </row>
    <row r="31" spans="1:10" x14ac:dyDescent="0.3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pageSetUpPr fitToPage="1"/>
  </sheetPr>
  <dimension ref="A1:L31"/>
  <sheetViews>
    <sheetView topLeftCell="A16"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7</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45439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45418</v>
      </c>
      <c r="C11" s="25" t="s">
        <v>20</v>
      </c>
      <c r="D11" s="26">
        <v>0.33333333333333331</v>
      </c>
      <c r="E11" s="23" t="str">
        <f>IF(WEEKDAY(F11,1)=1,"Zondag",IF(WEEKDAY(F11,1)=2,"Maandag",IF(WEEKDAY(F11,1)=3,"Dinsdag",IF(WEEKDAY(F11,1)=4,"Woensdag",IF(WEEKDAY(F11,1)=5,"Donderdag",IF(WEEKDAY(F11,1)=6,"Vrijdag","Zaterdag"))))))</f>
        <v>Maandag</v>
      </c>
      <c r="F11" s="24">
        <f>B11+7</f>
        <v>45425</v>
      </c>
      <c r="G11" s="25" t="s">
        <v>20</v>
      </c>
      <c r="H11" s="26">
        <v>0.33333333333333331</v>
      </c>
    </row>
    <row r="12" spans="1:12" ht="99.75" customHeight="1" x14ac:dyDescent="0.35">
      <c r="A12" s="41" t="s">
        <v>94</v>
      </c>
      <c r="B12" s="41"/>
      <c r="C12" s="41"/>
      <c r="D12" s="41"/>
      <c r="E12" s="38" t="s">
        <v>99</v>
      </c>
      <c r="F12" s="38"/>
      <c r="G12" s="38"/>
      <c r="H12" s="38"/>
    </row>
    <row r="13" spans="1:12" x14ac:dyDescent="0.35">
      <c r="A13" s="23" t="str">
        <f>IF(WEEKDAY(B13,1)=1,"Zondag",IF(WEEKDAY(B13,1)=2,"Maandag",IF(WEEKDAY(B13,1)=3,"Dinsdag",IF(WEEKDAY(B13,1)=4,"Woensdag",IF(WEEKDAY(B13,1)=5,"Donderdag",IF(WEEKDAY(B13,1)=6,"Vrijdag","Zaterdag"))))))</f>
        <v>Dinsdag</v>
      </c>
      <c r="B13" s="24">
        <f>B11+1</f>
        <v>45419</v>
      </c>
      <c r="C13" s="25" t="s">
        <v>20</v>
      </c>
      <c r="D13" s="26">
        <v>0.33333333333333331</v>
      </c>
      <c r="E13" s="23" t="str">
        <f>IF(WEEKDAY(F13,1)=1,"Zondag",IF(WEEKDAY(F13,1)=2,"Maandag",IF(WEEKDAY(F13,1)=3,"Dinsdag",IF(WEEKDAY(F13,1)=4,"Woensdag",IF(WEEKDAY(F13,1)=5,"Donderdag",IF(WEEKDAY(F13,1)=6,"Vrijdag","Zaterdag"))))))</f>
        <v>Dinsdag</v>
      </c>
      <c r="F13" s="24">
        <f>F11+1</f>
        <v>45426</v>
      </c>
      <c r="G13" s="25" t="s">
        <v>20</v>
      </c>
      <c r="H13" s="26">
        <v>0.33333333333333331</v>
      </c>
    </row>
    <row r="14" spans="1:12" ht="99.75" customHeight="1" x14ac:dyDescent="0.35">
      <c r="A14" s="51" t="s">
        <v>95</v>
      </c>
      <c r="B14" s="38"/>
      <c r="C14" s="38"/>
      <c r="D14" s="38"/>
      <c r="E14" s="38" t="s">
        <v>100</v>
      </c>
      <c r="F14" s="38"/>
      <c r="G14" s="38"/>
      <c r="H14" s="38"/>
    </row>
    <row r="15" spans="1:12" x14ac:dyDescent="0.35">
      <c r="A15" s="23" t="str">
        <f>IF(WEEKDAY(B15,1)=1,"Zondag",IF(WEEKDAY(B15,1)=2,"Maandag",IF(WEEKDAY(B15,1)=3,"Dinsdag",IF(WEEKDAY(B15,1)=4,"Woensdag",IF(WEEKDAY(B15,1)=5,"Donderdag",IF(WEEKDAY(B15,1)=6,"Vrijdag","Zaterdag"))))))</f>
        <v>Woensdag</v>
      </c>
      <c r="B15" s="24">
        <f>B13+1</f>
        <v>45420</v>
      </c>
      <c r="C15" s="25" t="s">
        <v>20</v>
      </c>
      <c r="D15" s="26">
        <v>0.33333333333333331</v>
      </c>
      <c r="E15" s="23" t="str">
        <f>IF(WEEKDAY(F15,1)=1,"Zondag",IF(WEEKDAY(F15,1)=2,"Maandag",IF(WEEKDAY(F15,1)=3,"Dinsdag",IF(WEEKDAY(F15,1)=4,"Woensdag",IF(WEEKDAY(F15,1)=5,"Donderdag",IF(WEEKDAY(F15,1)=6,"Vrijdag","Zaterdag"))))))</f>
        <v>Woensdag</v>
      </c>
      <c r="F15" s="24">
        <f>F13+1</f>
        <v>45427</v>
      </c>
      <c r="G15" s="25" t="s">
        <v>20</v>
      </c>
      <c r="H15" s="26">
        <v>0.33333333333333331</v>
      </c>
    </row>
    <row r="16" spans="1:12" ht="99.75" customHeight="1" x14ac:dyDescent="0.35">
      <c r="A16" s="38" t="s">
        <v>98</v>
      </c>
      <c r="B16" s="38"/>
      <c r="C16" s="38"/>
      <c r="D16" s="38"/>
      <c r="E16" s="38" t="s">
        <v>102</v>
      </c>
      <c r="F16" s="38"/>
      <c r="G16" s="38"/>
      <c r="H16" s="38"/>
    </row>
    <row r="17" spans="1:10" x14ac:dyDescent="0.35">
      <c r="A17" s="23" t="str">
        <f>IF(WEEKDAY(B17,1)=1,"Zondag",IF(WEEKDAY(B17,1)=2,"Maandag",IF(WEEKDAY(B17,1)=3,"Dinsdag",IF(WEEKDAY(B17,1)=4,"Woensdag",IF(WEEKDAY(B17,1)=5,"Donderdag",IF(WEEKDAY(B17,1)=6,"Vrijdag","Zaterdag"))))))</f>
        <v>Donderdag</v>
      </c>
      <c r="B17" s="24">
        <f>B15+1</f>
        <v>45421</v>
      </c>
      <c r="C17" s="25" t="s">
        <v>20</v>
      </c>
      <c r="D17" s="26">
        <v>0</v>
      </c>
      <c r="E17" s="23" t="str">
        <f>IF(WEEKDAY(F17,1)=1,"Zondag",IF(WEEKDAY(F17,1)=2,"Maandag",IF(WEEKDAY(F17,1)=3,"Dinsdag",IF(WEEKDAY(F17,1)=4,"Woensdag",IF(WEEKDAY(F17,1)=5,"Donderdag",IF(WEEKDAY(F17,1)=6,"Vrijdag","Zaterdag"))))))</f>
        <v>Donderdag</v>
      </c>
      <c r="F17" s="24">
        <f>F15+1</f>
        <v>45428</v>
      </c>
      <c r="G17" s="25" t="s">
        <v>20</v>
      </c>
      <c r="H17" s="26">
        <v>0.33333333333333331</v>
      </c>
    </row>
    <row r="18" spans="1:10" ht="99.75" customHeight="1" x14ac:dyDescent="0.35">
      <c r="A18" s="38" t="s">
        <v>96</v>
      </c>
      <c r="B18" s="38"/>
      <c r="C18" s="38"/>
      <c r="D18" s="38"/>
      <c r="E18" s="38" t="s">
        <v>103</v>
      </c>
      <c r="F18" s="38"/>
      <c r="G18" s="38"/>
      <c r="H18" s="38"/>
    </row>
    <row r="19" spans="1:10" x14ac:dyDescent="0.35">
      <c r="A19" s="23" t="str">
        <f>IF(WEEKDAY(B19,1)=1,"Zondag",IF(WEEKDAY(B19,1)=2,"Maandag",IF(WEEKDAY(B19,1)=3,"Dinsdag",IF(WEEKDAY(B19,1)=4,"Woensdag",IF(WEEKDAY(B19,1)=5,"Donderdag",IF(WEEKDAY(B19,1)=6,"Vrijdag","Zaterdag"))))))</f>
        <v>Vrijdag</v>
      </c>
      <c r="B19" s="24">
        <f>B17+1</f>
        <v>45422</v>
      </c>
      <c r="C19" s="25" t="s">
        <v>20</v>
      </c>
      <c r="D19" s="26">
        <v>0</v>
      </c>
      <c r="E19" s="23" t="str">
        <f>IF(WEEKDAY(F19,1)=1,"Zondag",IF(WEEKDAY(F19,1)=2,"Maandag",IF(WEEKDAY(F19,1)=3,"Dinsdag",IF(WEEKDAY(F19,1)=4,"Woensdag",IF(WEEKDAY(F19,1)=5,"Donderdag",IF(WEEKDAY(F19,1)=6,"Vrijdag","Zaterdag"))))))</f>
        <v>Vrijdag</v>
      </c>
      <c r="F19" s="24">
        <f>F17+1</f>
        <v>45429</v>
      </c>
      <c r="G19" s="25" t="s">
        <v>20</v>
      </c>
      <c r="H19" s="26">
        <v>0.33333333333333331</v>
      </c>
    </row>
    <row r="20" spans="1:10" ht="99.75" customHeight="1" x14ac:dyDescent="0.35">
      <c r="A20" s="38" t="s">
        <v>97</v>
      </c>
      <c r="B20" s="38"/>
      <c r="C20" s="38"/>
      <c r="D20" s="38"/>
      <c r="E20" s="50" t="s">
        <v>104</v>
      </c>
      <c r="F20" s="50"/>
      <c r="G20" s="50"/>
      <c r="H20" s="50"/>
    </row>
    <row r="21" spans="1:10" x14ac:dyDescent="0.35">
      <c r="A21" s="39" t="s">
        <v>21</v>
      </c>
      <c r="B21" s="39"/>
      <c r="C21" s="39"/>
      <c r="D21" s="27">
        <f>D11+D13+D15+D17+D19+H11+H13+H15+H17+H19</f>
        <v>2.6666666666666665</v>
      </c>
      <c r="E21" s="39" t="s">
        <v>22</v>
      </c>
      <c r="F21" s="39"/>
      <c r="G21" s="39"/>
      <c r="H21" s="27">
        <f>D21+'Werkstaat 6'!H21</f>
        <v>20.312500000000004</v>
      </c>
      <c r="J21" s="33"/>
    </row>
    <row r="22" spans="1:10" x14ac:dyDescent="0.35">
      <c r="A22" s="35" t="s">
        <v>23</v>
      </c>
      <c r="B22" s="35"/>
      <c r="C22" s="35"/>
      <c r="D22" s="16">
        <f>IF(D11&gt;0,1,0)+IF(D13&gt;0,1,0)+IF(D15&gt;0,1,0)+IF(D17&gt;0,1,0)+IF(D19&gt;0,1,0)+IF(H11&gt;0,1,0)+IF(H13&gt;0,1,0)+IF(H15&gt;0,1,0)+IF(H17&gt;0,1,0)+IF(H19&gt;0,1,0)</f>
        <v>8</v>
      </c>
      <c r="E22" s="35" t="s">
        <v>24</v>
      </c>
      <c r="F22" s="35"/>
      <c r="G22" s="35"/>
      <c r="H22" s="16">
        <f>D22+'Werkstaat 6'!H22</f>
        <v>62</v>
      </c>
    </row>
    <row r="23" spans="1:10"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6'!H23</f>
        <v>0</v>
      </c>
    </row>
    <row r="24" spans="1:10"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6'!H24</f>
        <v>2</v>
      </c>
    </row>
    <row r="25" spans="1:10" x14ac:dyDescent="0.35">
      <c r="A25" s="13"/>
      <c r="B25" s="19"/>
      <c r="C25" s="19"/>
      <c r="D25" s="19"/>
      <c r="H25" s="16"/>
    </row>
    <row r="26" spans="1:10" x14ac:dyDescent="0.35">
      <c r="A26" s="15"/>
      <c r="H26" s="16"/>
    </row>
    <row r="27" spans="1:10" x14ac:dyDescent="0.35">
      <c r="A27" s="15" t="s">
        <v>29</v>
      </c>
      <c r="B27" s="37"/>
      <c r="C27" s="37"/>
      <c r="D27" s="37"/>
      <c r="E27" t="s">
        <v>11</v>
      </c>
      <c r="F27" s="34"/>
      <c r="G27" s="34"/>
      <c r="H27" s="34"/>
    </row>
    <row r="28" spans="1:10" x14ac:dyDescent="0.35">
      <c r="A28" s="35" t="s">
        <v>30</v>
      </c>
      <c r="B28" s="49"/>
      <c r="C28" s="49"/>
      <c r="D28" s="49"/>
      <c r="H28" s="16"/>
    </row>
    <row r="29" spans="1:10" x14ac:dyDescent="0.35">
      <c r="A29" s="35"/>
      <c r="B29" s="49"/>
      <c r="C29" s="49"/>
      <c r="D29" s="49"/>
      <c r="H29" s="16"/>
    </row>
    <row r="30" spans="1:10" x14ac:dyDescent="0.35">
      <c r="A30" s="35"/>
      <c r="B30" s="49"/>
      <c r="C30" s="49"/>
      <c r="D30" s="49"/>
      <c r="E30" t="s">
        <v>31</v>
      </c>
      <c r="F30" s="34"/>
      <c r="G30" s="34"/>
      <c r="H30" s="34"/>
    </row>
    <row r="31" spans="1:10" x14ac:dyDescent="0.3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pageSetUpPr fitToPage="1"/>
  </sheetPr>
  <dimension ref="A1:L31"/>
  <sheetViews>
    <sheetView topLeftCell="A16" workbookViewId="0">
      <selection activeCell="A20" sqref="A20:D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8</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45453</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45432</v>
      </c>
      <c r="C11" s="25" t="s">
        <v>20</v>
      </c>
      <c r="D11" s="26">
        <v>0</v>
      </c>
      <c r="E11" s="23" t="str">
        <f>IF(WEEKDAY(F11,1)=1,"Zondag",IF(WEEKDAY(F11,1)=2,"Maandag",IF(WEEKDAY(F11,1)=3,"Dinsdag",IF(WEEKDAY(F11,1)=4,"Woensdag",IF(WEEKDAY(F11,1)=5,"Donderdag",IF(WEEKDAY(F11,1)=6,"Vrijdag","Zaterdag"))))))</f>
        <v>Maandag</v>
      </c>
      <c r="F11" s="24">
        <f>B11+7</f>
        <v>45439</v>
      </c>
      <c r="G11" s="25" t="s">
        <v>20</v>
      </c>
      <c r="H11" s="26">
        <v>0</v>
      </c>
    </row>
    <row r="12" spans="1:12" ht="99.75" customHeight="1" x14ac:dyDescent="0.35">
      <c r="A12" s="41" t="s">
        <v>101</v>
      </c>
      <c r="B12" s="41"/>
      <c r="C12" s="41"/>
      <c r="D12" s="41"/>
      <c r="E12" s="38" t="s">
        <v>107</v>
      </c>
      <c r="F12" s="38"/>
      <c r="G12" s="38"/>
      <c r="H12" s="38"/>
    </row>
    <row r="13" spans="1:12" x14ac:dyDescent="0.35">
      <c r="A13" s="23" t="str">
        <f>IF(WEEKDAY(B13,1)=1,"Zondag",IF(WEEKDAY(B13,1)=2,"Maandag",IF(WEEKDAY(B13,1)=3,"Dinsdag",IF(WEEKDAY(B13,1)=4,"Woensdag",IF(WEEKDAY(B13,1)=5,"Donderdag",IF(WEEKDAY(B13,1)=6,"Vrijdag","Zaterdag"))))))</f>
        <v>Dinsdag</v>
      </c>
      <c r="B13" s="24">
        <f>B11+1</f>
        <v>45433</v>
      </c>
      <c r="C13" s="25" t="s">
        <v>20</v>
      </c>
      <c r="D13" s="26">
        <v>0.33333333333333331</v>
      </c>
      <c r="E13" s="23" t="str">
        <f>IF(WEEKDAY(F13,1)=1,"Zondag",IF(WEEKDAY(F13,1)=2,"Maandag",IF(WEEKDAY(F13,1)=3,"Dinsdag",IF(WEEKDAY(F13,1)=4,"Woensdag",IF(WEEKDAY(F13,1)=5,"Donderdag",IF(WEEKDAY(F13,1)=6,"Vrijdag","Zaterdag"))))))</f>
        <v>Dinsdag</v>
      </c>
      <c r="F13" s="24">
        <f>F11+1</f>
        <v>45440</v>
      </c>
      <c r="G13" s="25" t="s">
        <v>20</v>
      </c>
      <c r="H13" s="26">
        <v>0</v>
      </c>
    </row>
    <row r="14" spans="1:12" ht="99.75" customHeight="1" x14ac:dyDescent="0.35">
      <c r="A14" s="38" t="s">
        <v>105</v>
      </c>
      <c r="B14" s="38"/>
      <c r="C14" s="38"/>
      <c r="D14" s="38"/>
      <c r="E14" s="38" t="s">
        <v>107</v>
      </c>
      <c r="F14" s="38"/>
      <c r="G14" s="38"/>
      <c r="H14" s="38"/>
    </row>
    <row r="15" spans="1:12" x14ac:dyDescent="0.35">
      <c r="A15" s="23" t="str">
        <f>IF(WEEKDAY(B15,1)=1,"Zondag",IF(WEEKDAY(B15,1)=2,"Maandag",IF(WEEKDAY(B15,1)=3,"Dinsdag",IF(WEEKDAY(B15,1)=4,"Woensdag",IF(WEEKDAY(B15,1)=5,"Donderdag",IF(WEEKDAY(B15,1)=6,"Vrijdag","Zaterdag"))))))</f>
        <v>Woensdag</v>
      </c>
      <c r="B15" s="24">
        <f>B13+1</f>
        <v>45434</v>
      </c>
      <c r="C15" s="25" t="s">
        <v>20</v>
      </c>
      <c r="D15" s="26">
        <v>0.33333333333333331</v>
      </c>
      <c r="E15" s="23" t="str">
        <f>IF(WEEKDAY(F15,1)=1,"Zondag",IF(WEEKDAY(F15,1)=2,"Maandag",IF(WEEKDAY(F15,1)=3,"Dinsdag",IF(WEEKDAY(F15,1)=4,"Woensdag",IF(WEEKDAY(F15,1)=5,"Donderdag",IF(WEEKDAY(F15,1)=6,"Vrijdag","Zaterdag"))))))</f>
        <v>Woensdag</v>
      </c>
      <c r="F15" s="24">
        <f>F13+1</f>
        <v>45441</v>
      </c>
      <c r="G15" s="25" t="s">
        <v>20</v>
      </c>
      <c r="H15" s="26">
        <v>0</v>
      </c>
    </row>
    <row r="16" spans="1:12" ht="99.75" customHeight="1" x14ac:dyDescent="0.35">
      <c r="A16" s="38" t="s">
        <v>106</v>
      </c>
      <c r="B16" s="38"/>
      <c r="C16" s="38"/>
      <c r="D16" s="38"/>
      <c r="E16" s="38" t="s">
        <v>107</v>
      </c>
      <c r="F16" s="38"/>
      <c r="G16" s="38"/>
      <c r="H16" s="38"/>
    </row>
    <row r="17" spans="1:10" x14ac:dyDescent="0.35">
      <c r="A17" s="23" t="str">
        <f>IF(WEEKDAY(B17,1)=1,"Zondag",IF(WEEKDAY(B17,1)=2,"Maandag",IF(WEEKDAY(B17,1)=3,"Dinsdag",IF(WEEKDAY(B17,1)=4,"Woensdag",IF(WEEKDAY(B17,1)=5,"Donderdag",IF(WEEKDAY(B17,1)=6,"Vrijdag","Zaterdag"))))))</f>
        <v>Donderdag</v>
      </c>
      <c r="B17" s="24">
        <f>B15+1</f>
        <v>45435</v>
      </c>
      <c r="C17" s="25" t="s">
        <v>20</v>
      </c>
      <c r="D17" s="26">
        <v>0.33333333333333331</v>
      </c>
      <c r="E17" s="23" t="str">
        <f>IF(WEEKDAY(F17,1)=1,"Zondag",IF(WEEKDAY(F17,1)=2,"Maandag",IF(WEEKDAY(F17,1)=3,"Dinsdag",IF(WEEKDAY(F17,1)=4,"Woensdag",IF(WEEKDAY(F17,1)=5,"Donderdag",IF(WEEKDAY(F17,1)=6,"Vrijdag","Zaterdag"))))))</f>
        <v>Donderdag</v>
      </c>
      <c r="F17" s="24">
        <f>F15+1</f>
        <v>45442</v>
      </c>
      <c r="G17" s="25" t="s">
        <v>20</v>
      </c>
      <c r="H17" s="26">
        <v>0</v>
      </c>
    </row>
    <row r="18" spans="1:10" ht="99.75" customHeight="1" x14ac:dyDescent="0.35">
      <c r="A18" s="38" t="s">
        <v>108</v>
      </c>
      <c r="B18" s="38"/>
      <c r="C18" s="38"/>
      <c r="D18" s="38"/>
      <c r="E18" s="38" t="s">
        <v>107</v>
      </c>
      <c r="F18" s="38"/>
      <c r="G18" s="38"/>
      <c r="H18" s="38"/>
    </row>
    <row r="19" spans="1:10" x14ac:dyDescent="0.35">
      <c r="A19" s="23" t="str">
        <f>IF(WEEKDAY(B19,1)=1,"Zondag",IF(WEEKDAY(B19,1)=2,"Maandag",IF(WEEKDAY(B19,1)=3,"Dinsdag",IF(WEEKDAY(B19,1)=4,"Woensdag",IF(WEEKDAY(B19,1)=5,"Donderdag",IF(WEEKDAY(B19,1)=6,"Vrijdag","Zaterdag"))))))</f>
        <v>Vrijdag</v>
      </c>
      <c r="B19" s="24">
        <f>B17+1</f>
        <v>45436</v>
      </c>
      <c r="C19" s="25" t="s">
        <v>20</v>
      </c>
      <c r="D19" s="26">
        <v>0.33333333333333331</v>
      </c>
      <c r="E19" s="23" t="str">
        <f>IF(WEEKDAY(F19,1)=1,"Zondag",IF(WEEKDAY(F19,1)=2,"Maandag",IF(WEEKDAY(F19,1)=3,"Dinsdag",IF(WEEKDAY(F19,1)=4,"Woensdag",IF(WEEKDAY(F19,1)=5,"Donderdag",IF(WEEKDAY(F19,1)=6,"Vrijdag","Zaterdag"))))))</f>
        <v>Vrijdag</v>
      </c>
      <c r="F19" s="24">
        <f>F17+1</f>
        <v>45443</v>
      </c>
      <c r="G19" s="25" t="s">
        <v>20</v>
      </c>
      <c r="H19" s="26">
        <v>0</v>
      </c>
    </row>
    <row r="20" spans="1:10" ht="99.75" customHeight="1" x14ac:dyDescent="0.35">
      <c r="A20" s="38" t="s">
        <v>109</v>
      </c>
      <c r="B20" s="38"/>
      <c r="C20" s="38"/>
      <c r="D20" s="38"/>
      <c r="E20" s="50" t="s">
        <v>107</v>
      </c>
      <c r="F20" s="50"/>
      <c r="G20" s="50"/>
      <c r="H20" s="50"/>
    </row>
    <row r="21" spans="1:10" x14ac:dyDescent="0.35">
      <c r="A21" s="39" t="s">
        <v>21</v>
      </c>
      <c r="B21" s="39"/>
      <c r="C21" s="39"/>
      <c r="D21" s="27">
        <f>D11+D13+D15+D17+D19+H11+H13+H15+H17+H19</f>
        <v>1.3333333333333333</v>
      </c>
      <c r="E21" s="39" t="s">
        <v>22</v>
      </c>
      <c r="F21" s="39"/>
      <c r="G21" s="39"/>
      <c r="H21" s="27">
        <f>D21+'Werkstaat 7'!H21</f>
        <v>21.645833333333336</v>
      </c>
      <c r="J21" s="33"/>
    </row>
    <row r="22" spans="1:10" x14ac:dyDescent="0.35">
      <c r="A22" s="35" t="s">
        <v>23</v>
      </c>
      <c r="B22" s="35"/>
      <c r="C22" s="35"/>
      <c r="D22" s="16">
        <f>IF(D11&gt;0,1,0)+IF(D13&gt;0,1,0)+IF(D15&gt;0,1,0)+IF(D17&gt;0,1,0)+IF(D19&gt;0,1,0)+IF(H11&gt;0,1,0)+IF(H13&gt;0,1,0)+IF(H15&gt;0,1,0)+IF(H17&gt;0,1,0)+IF(H19&gt;0,1,0)</f>
        <v>4</v>
      </c>
      <c r="E22" s="35" t="s">
        <v>24</v>
      </c>
      <c r="F22" s="35"/>
      <c r="G22" s="35"/>
      <c r="H22" s="16">
        <f>D22+'Werkstaat 7'!H22</f>
        <v>66</v>
      </c>
    </row>
    <row r="23" spans="1:10"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7'!H23</f>
        <v>0</v>
      </c>
    </row>
    <row r="24" spans="1:10"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7'!H24</f>
        <v>2</v>
      </c>
    </row>
    <row r="25" spans="1:10" x14ac:dyDescent="0.35">
      <c r="A25" s="13"/>
      <c r="B25" s="19"/>
      <c r="C25" s="19"/>
      <c r="D25" s="19"/>
      <c r="H25" s="16"/>
    </row>
    <row r="26" spans="1:10" x14ac:dyDescent="0.35">
      <c r="A26" s="15"/>
      <c r="H26" s="16"/>
    </row>
    <row r="27" spans="1:10" x14ac:dyDescent="0.35">
      <c r="A27" s="15" t="s">
        <v>29</v>
      </c>
      <c r="B27" s="37"/>
      <c r="C27" s="37"/>
      <c r="D27" s="37"/>
      <c r="E27" t="s">
        <v>11</v>
      </c>
      <c r="F27" s="34"/>
      <c r="G27" s="34"/>
      <c r="H27" s="34"/>
    </row>
    <row r="28" spans="1:10" x14ac:dyDescent="0.35">
      <c r="A28" s="35" t="s">
        <v>30</v>
      </c>
      <c r="B28" s="49"/>
      <c r="C28" s="49"/>
      <c r="D28" s="49"/>
      <c r="H28" s="16"/>
    </row>
    <row r="29" spans="1:10" x14ac:dyDescent="0.35">
      <c r="A29" s="35"/>
      <c r="B29" s="49"/>
      <c r="C29" s="49"/>
      <c r="D29" s="49"/>
      <c r="H29" s="16"/>
    </row>
    <row r="30" spans="1:10" x14ac:dyDescent="0.35">
      <c r="A30" s="35"/>
      <c r="B30" s="49"/>
      <c r="C30" s="49"/>
      <c r="D30" s="49"/>
      <c r="E30" t="s">
        <v>31</v>
      </c>
      <c r="F30" s="34"/>
      <c r="G30" s="34"/>
      <c r="H30" s="34"/>
    </row>
    <row r="31" spans="1:10" x14ac:dyDescent="0.3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pageSetUpPr fitToPage="1"/>
  </sheetPr>
  <dimension ref="A1:L31"/>
  <sheetViews>
    <sheetView topLeftCell="A3"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9</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45467</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45446</v>
      </c>
      <c r="C11" s="25" t="s">
        <v>20</v>
      </c>
      <c r="D11" s="26">
        <v>0.33333333333333331</v>
      </c>
      <c r="E11" s="23" t="str">
        <f>IF(WEEKDAY(F11,1)=1,"Zondag",IF(WEEKDAY(F11,1)=2,"Maandag",IF(WEEKDAY(F11,1)=3,"Dinsdag",IF(WEEKDAY(F11,1)=4,"Woensdag",IF(WEEKDAY(F11,1)=5,"Donderdag",IF(WEEKDAY(F11,1)=6,"Vrijdag","Zaterdag"))))))</f>
        <v>Maandag</v>
      </c>
      <c r="F11" s="24">
        <f>B11+7</f>
        <v>45453</v>
      </c>
      <c r="G11" s="25" t="s">
        <v>20</v>
      </c>
      <c r="H11" s="26">
        <v>0.33333333333333331</v>
      </c>
    </row>
    <row r="12" spans="1:12" ht="99.75" customHeight="1" x14ac:dyDescent="0.35">
      <c r="A12" s="41" t="s">
        <v>110</v>
      </c>
      <c r="B12" s="41"/>
      <c r="C12" s="41"/>
      <c r="D12" s="41"/>
      <c r="E12" s="38" t="s">
        <v>115</v>
      </c>
      <c r="F12" s="38"/>
      <c r="G12" s="38"/>
      <c r="H12" s="38"/>
    </row>
    <row r="13" spans="1:12" x14ac:dyDescent="0.35">
      <c r="A13" s="23" t="str">
        <f>IF(WEEKDAY(B13,1)=1,"Zondag",IF(WEEKDAY(B13,1)=2,"Maandag",IF(WEEKDAY(B13,1)=3,"Dinsdag",IF(WEEKDAY(B13,1)=4,"Woensdag",IF(WEEKDAY(B13,1)=5,"Donderdag",IF(WEEKDAY(B13,1)=6,"Vrijdag","Zaterdag"))))))</f>
        <v>Dinsdag</v>
      </c>
      <c r="B13" s="24">
        <f>B11+1</f>
        <v>45447</v>
      </c>
      <c r="C13" s="25" t="s">
        <v>20</v>
      </c>
      <c r="D13" s="26">
        <v>0.33333333333333331</v>
      </c>
      <c r="E13" s="23" t="str">
        <f>IF(WEEKDAY(F13,1)=1,"Zondag",IF(WEEKDAY(F13,1)=2,"Maandag",IF(WEEKDAY(F13,1)=3,"Dinsdag",IF(WEEKDAY(F13,1)=4,"Woensdag",IF(WEEKDAY(F13,1)=5,"Donderdag",IF(WEEKDAY(F13,1)=6,"Vrijdag","Zaterdag"))))))</f>
        <v>Dinsdag</v>
      </c>
      <c r="F13" s="24">
        <f>F11+1</f>
        <v>45454</v>
      </c>
      <c r="G13" s="25" t="s">
        <v>20</v>
      </c>
      <c r="H13" s="26">
        <v>0.33333333333333331</v>
      </c>
    </row>
    <row r="14" spans="1:12" ht="99.75" customHeight="1" x14ac:dyDescent="0.35">
      <c r="A14" s="38" t="s">
        <v>111</v>
      </c>
      <c r="B14" s="38"/>
      <c r="C14" s="38"/>
      <c r="D14" s="38"/>
      <c r="E14" s="38" t="s">
        <v>116</v>
      </c>
      <c r="F14" s="38"/>
      <c r="G14" s="38"/>
      <c r="H14" s="38"/>
    </row>
    <row r="15" spans="1:12" x14ac:dyDescent="0.35">
      <c r="A15" s="23" t="str">
        <f>IF(WEEKDAY(B15,1)=1,"Zondag",IF(WEEKDAY(B15,1)=2,"Maandag",IF(WEEKDAY(B15,1)=3,"Dinsdag",IF(WEEKDAY(B15,1)=4,"Woensdag",IF(WEEKDAY(B15,1)=5,"Donderdag",IF(WEEKDAY(B15,1)=6,"Vrijdag","Zaterdag"))))))</f>
        <v>Woensdag</v>
      </c>
      <c r="B15" s="24">
        <f>B13+1</f>
        <v>45448</v>
      </c>
      <c r="C15" s="25" t="s">
        <v>20</v>
      </c>
      <c r="D15" s="26">
        <v>0.33333333333333331</v>
      </c>
      <c r="E15" s="23" t="str">
        <f>IF(WEEKDAY(F15,1)=1,"Zondag",IF(WEEKDAY(F15,1)=2,"Maandag",IF(WEEKDAY(F15,1)=3,"Dinsdag",IF(WEEKDAY(F15,1)=4,"Woensdag",IF(WEEKDAY(F15,1)=5,"Donderdag",IF(WEEKDAY(F15,1)=6,"Vrijdag","Zaterdag"))))))</f>
        <v>Woensdag</v>
      </c>
      <c r="F15" s="24">
        <f>F13+1</f>
        <v>45455</v>
      </c>
      <c r="G15" s="25" t="s">
        <v>20</v>
      </c>
      <c r="H15" s="26">
        <v>0.33333333333333331</v>
      </c>
    </row>
    <row r="16" spans="1:12" ht="99.75" customHeight="1" x14ac:dyDescent="0.35">
      <c r="A16" s="38" t="s">
        <v>112</v>
      </c>
      <c r="B16" s="38"/>
      <c r="C16" s="38"/>
      <c r="D16" s="38"/>
      <c r="E16" s="38" t="s">
        <v>117</v>
      </c>
      <c r="F16" s="38"/>
      <c r="G16" s="38"/>
      <c r="H16" s="38"/>
    </row>
    <row r="17" spans="1:10" x14ac:dyDescent="0.35">
      <c r="A17" s="23" t="str">
        <f>IF(WEEKDAY(B17,1)=1,"Zondag",IF(WEEKDAY(B17,1)=2,"Maandag",IF(WEEKDAY(B17,1)=3,"Dinsdag",IF(WEEKDAY(B17,1)=4,"Woensdag",IF(WEEKDAY(B17,1)=5,"Donderdag",IF(WEEKDAY(B17,1)=6,"Vrijdag","Zaterdag"))))))</f>
        <v>Donderdag</v>
      </c>
      <c r="B17" s="24">
        <f>B15+1</f>
        <v>45449</v>
      </c>
      <c r="C17" s="25" t="s">
        <v>20</v>
      </c>
      <c r="D17" s="26">
        <v>0.33333333333333331</v>
      </c>
      <c r="E17" s="23" t="str">
        <f>IF(WEEKDAY(F17,1)=1,"Zondag",IF(WEEKDAY(F17,1)=2,"Maandag",IF(WEEKDAY(F17,1)=3,"Dinsdag",IF(WEEKDAY(F17,1)=4,"Woensdag",IF(WEEKDAY(F17,1)=5,"Donderdag",IF(WEEKDAY(F17,1)=6,"Vrijdag","Zaterdag"))))))</f>
        <v>Donderdag</v>
      </c>
      <c r="F17" s="24">
        <f>F15+1</f>
        <v>45456</v>
      </c>
      <c r="G17" s="25" t="s">
        <v>20</v>
      </c>
      <c r="H17" s="26">
        <v>0.33333333333333331</v>
      </c>
    </row>
    <row r="18" spans="1:10" ht="99.75" customHeight="1" x14ac:dyDescent="0.35">
      <c r="A18" s="38" t="s">
        <v>113</v>
      </c>
      <c r="B18" s="38"/>
      <c r="C18" s="38"/>
      <c r="D18" s="38"/>
      <c r="E18" s="38" t="s">
        <v>118</v>
      </c>
      <c r="F18" s="38"/>
      <c r="G18" s="38"/>
      <c r="H18" s="38"/>
    </row>
    <row r="19" spans="1:10" x14ac:dyDescent="0.35">
      <c r="A19" s="23" t="str">
        <f>IF(WEEKDAY(B19,1)=1,"Zondag",IF(WEEKDAY(B19,1)=2,"Maandag",IF(WEEKDAY(B19,1)=3,"Dinsdag",IF(WEEKDAY(B19,1)=4,"Woensdag",IF(WEEKDAY(B19,1)=5,"Donderdag",IF(WEEKDAY(B19,1)=6,"Vrijdag","Zaterdag"))))))</f>
        <v>Vrijdag</v>
      </c>
      <c r="B19" s="24">
        <f>B17+1</f>
        <v>45450</v>
      </c>
      <c r="C19" s="25" t="s">
        <v>20</v>
      </c>
      <c r="D19" s="26">
        <v>0.33333333333333331</v>
      </c>
      <c r="E19" s="23" t="str">
        <f>IF(WEEKDAY(F19,1)=1,"Zondag",IF(WEEKDAY(F19,1)=2,"Maandag",IF(WEEKDAY(F19,1)=3,"Dinsdag",IF(WEEKDAY(F19,1)=4,"Woensdag",IF(WEEKDAY(F19,1)=5,"Donderdag",IF(WEEKDAY(F19,1)=6,"Vrijdag","Zaterdag"))))))</f>
        <v>Vrijdag</v>
      </c>
      <c r="F19" s="24">
        <f>F17+1</f>
        <v>45457</v>
      </c>
      <c r="G19" s="25" t="s">
        <v>20</v>
      </c>
      <c r="H19" s="26">
        <v>0.33333333333333331</v>
      </c>
    </row>
    <row r="20" spans="1:10" ht="99.75" customHeight="1" x14ac:dyDescent="0.35">
      <c r="A20" s="38" t="s">
        <v>114</v>
      </c>
      <c r="B20" s="38"/>
      <c r="C20" s="38"/>
      <c r="D20" s="38"/>
      <c r="E20" s="50" t="s">
        <v>119</v>
      </c>
      <c r="F20" s="50"/>
      <c r="G20" s="50"/>
      <c r="H20" s="50"/>
    </row>
    <row r="21" spans="1:10" x14ac:dyDescent="0.35">
      <c r="A21" s="39" t="s">
        <v>21</v>
      </c>
      <c r="B21" s="39"/>
      <c r="C21" s="39"/>
      <c r="D21" s="27">
        <f>D11+D13+D15+D17+D19+H11+H13+H15+H17+H19</f>
        <v>3.3333333333333335</v>
      </c>
      <c r="E21" s="39" t="s">
        <v>22</v>
      </c>
      <c r="F21" s="39"/>
      <c r="G21" s="39"/>
      <c r="H21" s="27">
        <f>D21+'Werkstaat 8'!H21</f>
        <v>24.979166666666668</v>
      </c>
      <c r="J21" s="33"/>
    </row>
    <row r="22" spans="1:10" x14ac:dyDescent="0.35">
      <c r="A22" s="35" t="s">
        <v>23</v>
      </c>
      <c r="B22" s="35"/>
      <c r="C22" s="35"/>
      <c r="D22" s="16">
        <f>IF(D11&gt;0,1,0)+IF(D13&gt;0,1,0)+IF(D15&gt;0,1,0)+IF(D17&gt;0,1,0)+IF(D19&gt;0,1,0)+IF(H11&gt;0,1,0)+IF(H13&gt;0,1,0)+IF(H15&gt;0,1,0)+IF(H17&gt;0,1,0)+IF(H19&gt;0,1,0)</f>
        <v>10</v>
      </c>
      <c r="E22" s="35" t="s">
        <v>24</v>
      </c>
      <c r="F22" s="35"/>
      <c r="G22" s="35"/>
      <c r="H22" s="16">
        <f>D22+'Werkstaat 8'!H22</f>
        <v>76</v>
      </c>
    </row>
    <row r="23" spans="1:10"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8'!H23</f>
        <v>0</v>
      </c>
    </row>
    <row r="24" spans="1:10"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8'!H24</f>
        <v>2</v>
      </c>
    </row>
    <row r="25" spans="1:10" x14ac:dyDescent="0.35">
      <c r="A25" s="13"/>
      <c r="B25" s="19"/>
      <c r="C25" s="19"/>
      <c r="D25" s="19"/>
      <c r="H25" s="16"/>
    </row>
    <row r="26" spans="1:10" x14ac:dyDescent="0.35">
      <c r="A26" s="15"/>
      <c r="H26" s="16"/>
    </row>
    <row r="27" spans="1:10" x14ac:dyDescent="0.35">
      <c r="A27" s="15" t="s">
        <v>29</v>
      </c>
      <c r="B27" s="37"/>
      <c r="C27" s="37"/>
      <c r="D27" s="37"/>
      <c r="E27" t="s">
        <v>11</v>
      </c>
      <c r="F27" s="34"/>
      <c r="G27" s="34"/>
      <c r="H27" s="34"/>
    </row>
    <row r="28" spans="1:10" x14ac:dyDescent="0.35">
      <c r="A28" s="35" t="s">
        <v>30</v>
      </c>
      <c r="B28" s="49"/>
      <c r="C28" s="49"/>
      <c r="D28" s="49"/>
      <c r="H28" s="16"/>
    </row>
    <row r="29" spans="1:10" x14ac:dyDescent="0.35">
      <c r="A29" s="35"/>
      <c r="B29" s="49"/>
      <c r="C29" s="49"/>
      <c r="D29" s="49"/>
      <c r="H29" s="16"/>
    </row>
    <row r="30" spans="1:10" x14ac:dyDescent="0.35">
      <c r="A30" s="35"/>
      <c r="B30" s="49"/>
      <c r="C30" s="49"/>
      <c r="D30" s="49"/>
      <c r="E30" t="s">
        <v>31</v>
      </c>
      <c r="F30" s="34"/>
      <c r="G30" s="34"/>
      <c r="H30" s="34"/>
    </row>
    <row r="31" spans="1:10" x14ac:dyDescent="0.3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pageSetUpPr fitToPage="1"/>
  </sheetPr>
  <dimension ref="A1:L31"/>
  <sheetViews>
    <sheetView topLeftCell="A16" workbookViewId="0">
      <selection activeCell="E14" sqref="E14:H14"/>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10</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45481</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45460</v>
      </c>
      <c r="C11" s="25" t="s">
        <v>20</v>
      </c>
      <c r="D11" s="26">
        <v>0.33333333333333331</v>
      </c>
      <c r="E11" s="23" t="str">
        <f>IF(WEEKDAY(F11,1)=1,"Zondag",IF(WEEKDAY(F11,1)=2,"Maandag",IF(WEEKDAY(F11,1)=3,"Dinsdag",IF(WEEKDAY(F11,1)=4,"Woensdag",IF(WEEKDAY(F11,1)=5,"Donderdag",IF(WEEKDAY(F11,1)=6,"Vrijdag","Zaterdag"))))))</f>
        <v>Maandag</v>
      </c>
      <c r="F11" s="24">
        <f>B11+7</f>
        <v>45467</v>
      </c>
      <c r="G11" s="25" t="s">
        <v>20</v>
      </c>
      <c r="H11" s="26">
        <v>0.33333333333333331</v>
      </c>
    </row>
    <row r="12" spans="1:12" ht="99.75" customHeight="1" x14ac:dyDescent="0.35">
      <c r="A12" s="41" t="s">
        <v>120</v>
      </c>
      <c r="B12" s="41"/>
      <c r="C12" s="41"/>
      <c r="D12" s="41"/>
      <c r="E12" s="38" t="s">
        <v>130</v>
      </c>
      <c r="F12" s="38"/>
      <c r="G12" s="38"/>
      <c r="H12" s="38"/>
    </row>
    <row r="13" spans="1:12" x14ac:dyDescent="0.35">
      <c r="A13" s="23" t="str">
        <f>IF(WEEKDAY(B13,1)=1,"Zondag",IF(WEEKDAY(B13,1)=2,"Maandag",IF(WEEKDAY(B13,1)=3,"Dinsdag",IF(WEEKDAY(B13,1)=4,"Woensdag",IF(WEEKDAY(B13,1)=5,"Donderdag",IF(WEEKDAY(B13,1)=6,"Vrijdag","Zaterdag"))))))</f>
        <v>Dinsdag</v>
      </c>
      <c r="B13" s="24">
        <f>B11+1</f>
        <v>45461</v>
      </c>
      <c r="C13" s="25" t="s">
        <v>20</v>
      </c>
      <c r="D13" s="26">
        <v>0.33333333333333331</v>
      </c>
      <c r="E13" s="23" t="str">
        <f>IF(WEEKDAY(F13,1)=1,"Zondag",IF(WEEKDAY(F13,1)=2,"Maandag",IF(WEEKDAY(F13,1)=3,"Dinsdag",IF(WEEKDAY(F13,1)=4,"Woensdag",IF(WEEKDAY(F13,1)=5,"Donderdag",IF(WEEKDAY(F13,1)=6,"Vrijdag","Zaterdag"))))))</f>
        <v>Dinsdag</v>
      </c>
      <c r="F13" s="24">
        <f>F11+1</f>
        <v>45468</v>
      </c>
      <c r="G13" s="25" t="s">
        <v>20</v>
      </c>
      <c r="H13" s="26">
        <v>0.33333333333333331</v>
      </c>
    </row>
    <row r="14" spans="1:12" ht="99.75" customHeight="1" x14ac:dyDescent="0.35">
      <c r="A14" s="38" t="s">
        <v>126</v>
      </c>
      <c r="B14" s="38"/>
      <c r="C14" s="38"/>
      <c r="D14" s="38"/>
      <c r="E14" s="38" t="s">
        <v>131</v>
      </c>
      <c r="F14" s="38"/>
      <c r="G14" s="38"/>
      <c r="H14" s="38"/>
    </row>
    <row r="15" spans="1:12" x14ac:dyDescent="0.35">
      <c r="A15" s="23" t="str">
        <f>IF(WEEKDAY(B15,1)=1,"Zondag",IF(WEEKDAY(B15,1)=2,"Maandag",IF(WEEKDAY(B15,1)=3,"Dinsdag",IF(WEEKDAY(B15,1)=4,"Woensdag",IF(WEEKDAY(B15,1)=5,"Donderdag",IF(WEEKDAY(B15,1)=6,"Vrijdag","Zaterdag"))))))</f>
        <v>Woensdag</v>
      </c>
      <c r="B15" s="24">
        <f>B13+1</f>
        <v>45462</v>
      </c>
      <c r="C15" s="25" t="s">
        <v>20</v>
      </c>
      <c r="D15" s="26">
        <v>0.33333333333333331</v>
      </c>
      <c r="E15" s="23" t="str">
        <f>IF(WEEKDAY(F15,1)=1,"Zondag",IF(WEEKDAY(F15,1)=2,"Maandag",IF(WEEKDAY(F15,1)=3,"Dinsdag",IF(WEEKDAY(F15,1)=4,"Woensdag",IF(WEEKDAY(F15,1)=5,"Donderdag",IF(WEEKDAY(F15,1)=6,"Vrijdag","Zaterdag"))))))</f>
        <v>Woensdag</v>
      </c>
      <c r="F15" s="24">
        <f>F13+1</f>
        <v>45469</v>
      </c>
      <c r="G15" s="25" t="s">
        <v>20</v>
      </c>
      <c r="H15" s="26">
        <v>0</v>
      </c>
    </row>
    <row r="16" spans="1:12" ht="99.75" customHeight="1" x14ac:dyDescent="0.35">
      <c r="A16" s="38" t="s">
        <v>127</v>
      </c>
      <c r="B16" s="38"/>
      <c r="C16" s="38"/>
      <c r="D16" s="38"/>
      <c r="E16" s="38" t="s">
        <v>121</v>
      </c>
      <c r="F16" s="38"/>
      <c r="G16" s="38"/>
      <c r="H16" s="38"/>
    </row>
    <row r="17" spans="1:10" x14ac:dyDescent="0.35">
      <c r="A17" s="23" t="str">
        <f>IF(WEEKDAY(B17,1)=1,"Zondag",IF(WEEKDAY(B17,1)=2,"Maandag",IF(WEEKDAY(B17,1)=3,"Dinsdag",IF(WEEKDAY(B17,1)=4,"Woensdag",IF(WEEKDAY(B17,1)=5,"Donderdag",IF(WEEKDAY(B17,1)=6,"Vrijdag","Zaterdag"))))))</f>
        <v>Donderdag</v>
      </c>
      <c r="B17" s="24">
        <f>B15+1</f>
        <v>45463</v>
      </c>
      <c r="C17" s="25" t="s">
        <v>20</v>
      </c>
      <c r="D17" s="26">
        <v>0.33333333333333331</v>
      </c>
      <c r="E17" s="23" t="str">
        <f>IF(WEEKDAY(F17,1)=1,"Zondag",IF(WEEKDAY(F17,1)=2,"Maandag",IF(WEEKDAY(F17,1)=3,"Dinsdag",IF(WEEKDAY(F17,1)=4,"Woensdag",IF(WEEKDAY(F17,1)=5,"Donderdag",IF(WEEKDAY(F17,1)=6,"Vrijdag","Zaterdag"))))))</f>
        <v>Donderdag</v>
      </c>
      <c r="F17" s="24">
        <f>F15+1</f>
        <v>45470</v>
      </c>
      <c r="G17" s="25" t="s">
        <v>20</v>
      </c>
      <c r="H17" s="26">
        <v>0</v>
      </c>
    </row>
    <row r="18" spans="1:10" ht="99.75" customHeight="1" x14ac:dyDescent="0.35">
      <c r="A18" s="38" t="s">
        <v>128</v>
      </c>
      <c r="B18" s="38"/>
      <c r="C18" s="38"/>
      <c r="D18" s="38"/>
      <c r="E18" s="38" t="s">
        <v>121</v>
      </c>
      <c r="F18" s="38"/>
      <c r="G18" s="38"/>
      <c r="H18" s="38"/>
    </row>
    <row r="19" spans="1:10" x14ac:dyDescent="0.35">
      <c r="A19" s="23" t="str">
        <f>IF(WEEKDAY(B19,1)=1,"Zondag",IF(WEEKDAY(B19,1)=2,"Maandag",IF(WEEKDAY(B19,1)=3,"Dinsdag",IF(WEEKDAY(B19,1)=4,"Woensdag",IF(WEEKDAY(B19,1)=5,"Donderdag",IF(WEEKDAY(B19,1)=6,"Vrijdag","Zaterdag"))))))</f>
        <v>Vrijdag</v>
      </c>
      <c r="B19" s="24">
        <f>B17+1</f>
        <v>45464</v>
      </c>
      <c r="C19" s="25" t="s">
        <v>20</v>
      </c>
      <c r="D19" s="26">
        <v>0.33333333333333331</v>
      </c>
      <c r="E19" s="23" t="str">
        <f>IF(WEEKDAY(F19,1)=1,"Zondag",IF(WEEKDAY(F19,1)=2,"Maandag",IF(WEEKDAY(F19,1)=3,"Dinsdag",IF(WEEKDAY(F19,1)=4,"Woensdag",IF(WEEKDAY(F19,1)=5,"Donderdag",IF(WEEKDAY(F19,1)=6,"Vrijdag","Zaterdag"))))))</f>
        <v>Vrijdag</v>
      </c>
      <c r="F19" s="24">
        <f>F17+1</f>
        <v>45471</v>
      </c>
      <c r="G19" s="25" t="s">
        <v>20</v>
      </c>
      <c r="H19" s="26">
        <v>0</v>
      </c>
    </row>
    <row r="20" spans="1:10" ht="99.75" customHeight="1" x14ac:dyDescent="0.35">
      <c r="A20" s="38" t="s">
        <v>129</v>
      </c>
      <c r="B20" s="38"/>
      <c r="C20" s="38"/>
      <c r="D20" s="38"/>
      <c r="E20" s="50" t="s">
        <v>121</v>
      </c>
      <c r="F20" s="50"/>
      <c r="G20" s="50"/>
      <c r="H20" s="50"/>
    </row>
    <row r="21" spans="1:10" x14ac:dyDescent="0.35">
      <c r="A21" s="39" t="s">
        <v>21</v>
      </c>
      <c r="B21" s="39"/>
      <c r="C21" s="39"/>
      <c r="D21" s="27">
        <f>D11+D13+D15+D17+D19+H11+H13+H15+H17+H19</f>
        <v>2.333333333333333</v>
      </c>
      <c r="E21" s="39" t="s">
        <v>22</v>
      </c>
      <c r="F21" s="39"/>
      <c r="G21" s="39"/>
      <c r="H21" s="27">
        <f>D21+'Werkstaat 9'!H21</f>
        <v>27.3125</v>
      </c>
      <c r="J21" s="33"/>
    </row>
    <row r="22" spans="1:10" x14ac:dyDescent="0.35">
      <c r="A22" s="35" t="s">
        <v>23</v>
      </c>
      <c r="B22" s="35"/>
      <c r="C22" s="35"/>
      <c r="D22" s="16">
        <f>IF(D11&gt;0,1,0)+IF(D13&gt;0,1,0)+IF(D15&gt;0,1,0)+IF(D17&gt;0,1,0)+IF(D19&gt;0,1,0)+IF(H11&gt;0,1,0)+IF(H13&gt;0,1,0)+IF(H15&gt;0,1,0)+IF(H17&gt;0,1,0)+IF(H19&gt;0,1,0)</f>
        <v>7</v>
      </c>
      <c r="E22" s="35" t="s">
        <v>24</v>
      </c>
      <c r="F22" s="35"/>
      <c r="G22" s="35"/>
      <c r="H22" s="16">
        <f>D22+'Werkstaat 9'!H22</f>
        <v>83</v>
      </c>
    </row>
    <row r="23" spans="1:10"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9'!H23</f>
        <v>0</v>
      </c>
    </row>
    <row r="24" spans="1:10"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3</v>
      </c>
      <c r="E24" s="36" t="s">
        <v>28</v>
      </c>
      <c r="F24" s="36"/>
      <c r="G24" s="36"/>
      <c r="H24" s="18">
        <f>D24+'Werkstaat 9'!H24</f>
        <v>5</v>
      </c>
    </row>
    <row r="25" spans="1:10" x14ac:dyDescent="0.35">
      <c r="A25" s="13"/>
      <c r="B25" s="19"/>
      <c r="C25" s="19"/>
      <c r="D25" s="19"/>
      <c r="H25" s="16"/>
    </row>
    <row r="26" spans="1:10" x14ac:dyDescent="0.35">
      <c r="A26" s="15"/>
      <c r="H26" s="16"/>
    </row>
    <row r="27" spans="1:10" x14ac:dyDescent="0.35">
      <c r="A27" s="15" t="s">
        <v>29</v>
      </c>
      <c r="B27" s="37"/>
      <c r="C27" s="37"/>
      <c r="D27" s="37"/>
      <c r="E27" t="s">
        <v>11</v>
      </c>
      <c r="F27" s="34"/>
      <c r="G27" s="34"/>
      <c r="H27" s="34"/>
    </row>
    <row r="28" spans="1:10" x14ac:dyDescent="0.35">
      <c r="A28" s="35" t="s">
        <v>30</v>
      </c>
      <c r="B28" s="49"/>
      <c r="C28" s="49"/>
      <c r="D28" s="49"/>
      <c r="H28" s="16"/>
    </row>
    <row r="29" spans="1:10" x14ac:dyDescent="0.35">
      <c r="A29" s="35"/>
      <c r="B29" s="49"/>
      <c r="C29" s="49"/>
      <c r="D29" s="49"/>
      <c r="H29" s="16"/>
    </row>
    <row r="30" spans="1:10" x14ac:dyDescent="0.35">
      <c r="A30" s="35"/>
      <c r="B30" s="49"/>
      <c r="C30" s="49"/>
      <c r="D30" s="49"/>
      <c r="E30" t="s">
        <v>31</v>
      </c>
      <c r="F30" s="34"/>
      <c r="G30" s="34"/>
      <c r="H30" s="34"/>
    </row>
    <row r="31" spans="1:10" x14ac:dyDescent="0.3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pageSetUpPr fitToPage="1"/>
  </sheetPr>
  <dimension ref="A1:L31"/>
  <sheetViews>
    <sheetView tabSelected="1" topLeftCell="A4" workbookViewId="0">
      <selection activeCell="E14" sqref="E14:H14"/>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11</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45495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45474</v>
      </c>
      <c r="C11" s="25" t="s">
        <v>20</v>
      </c>
      <c r="D11" s="26">
        <v>0.33333333333333331</v>
      </c>
      <c r="E11" s="23" t="str">
        <f>IF(WEEKDAY(F11,1)=1,"Zondag",IF(WEEKDAY(F11,1)=2,"Maandag",IF(WEEKDAY(F11,1)=3,"Dinsdag",IF(WEEKDAY(F11,1)=4,"Woensdag",IF(WEEKDAY(F11,1)=5,"Donderdag",IF(WEEKDAY(F11,1)=6,"Vrijdag","Zaterdag"))))))</f>
        <v>Maandag</v>
      </c>
      <c r="F11" s="24">
        <f>B11+7</f>
        <v>45481</v>
      </c>
      <c r="G11" s="25" t="s">
        <v>20</v>
      </c>
      <c r="H11" s="26">
        <v>0.33333333333333331</v>
      </c>
    </row>
    <row r="12" spans="1:12" ht="99.75" customHeight="1" x14ac:dyDescent="0.35">
      <c r="A12" s="41" t="s">
        <v>132</v>
      </c>
      <c r="B12" s="41"/>
      <c r="C12" s="41"/>
      <c r="D12" s="41"/>
      <c r="E12" s="38" t="s">
        <v>137</v>
      </c>
      <c r="F12" s="38"/>
      <c r="G12" s="38"/>
      <c r="H12" s="38"/>
    </row>
    <row r="13" spans="1:12" x14ac:dyDescent="0.35">
      <c r="A13" s="23" t="str">
        <f>IF(WEEKDAY(B13,1)=1,"Zondag",IF(WEEKDAY(B13,1)=2,"Maandag",IF(WEEKDAY(B13,1)=3,"Dinsdag",IF(WEEKDAY(B13,1)=4,"Woensdag",IF(WEEKDAY(B13,1)=5,"Donderdag",IF(WEEKDAY(B13,1)=6,"Vrijdag","Zaterdag"))))))</f>
        <v>Dinsdag</v>
      </c>
      <c r="B13" s="24">
        <f>B11+1</f>
        <v>45475</v>
      </c>
      <c r="C13" s="25" t="s">
        <v>20</v>
      </c>
      <c r="D13" s="26">
        <v>0.33333333333333331</v>
      </c>
      <c r="E13" s="23" t="str">
        <f>IF(WEEKDAY(F13,1)=1,"Zondag",IF(WEEKDAY(F13,1)=2,"Maandag",IF(WEEKDAY(F13,1)=3,"Dinsdag",IF(WEEKDAY(F13,1)=4,"Woensdag",IF(WEEKDAY(F13,1)=5,"Donderdag",IF(WEEKDAY(F13,1)=6,"Vrijdag","Zaterdag"))))))</f>
        <v>Dinsdag</v>
      </c>
      <c r="F13" s="24">
        <f>F11+1</f>
        <v>45482</v>
      </c>
      <c r="G13" s="25" t="s">
        <v>20</v>
      </c>
      <c r="H13" s="26">
        <v>0.33333333333333331</v>
      </c>
    </row>
    <row r="14" spans="1:12" ht="99.75" customHeight="1" x14ac:dyDescent="0.35">
      <c r="A14" s="38" t="s">
        <v>133</v>
      </c>
      <c r="B14" s="38"/>
      <c r="C14" s="38"/>
      <c r="D14" s="38"/>
      <c r="E14" s="38" t="s">
        <v>138</v>
      </c>
      <c r="F14" s="38"/>
      <c r="G14" s="38"/>
      <c r="H14" s="38"/>
    </row>
    <row r="15" spans="1:12" x14ac:dyDescent="0.35">
      <c r="A15" s="23" t="str">
        <f>IF(WEEKDAY(B15,1)=1,"Zondag",IF(WEEKDAY(B15,1)=2,"Maandag",IF(WEEKDAY(B15,1)=3,"Dinsdag",IF(WEEKDAY(B15,1)=4,"Woensdag",IF(WEEKDAY(B15,1)=5,"Donderdag",IF(WEEKDAY(B15,1)=6,"Vrijdag","Zaterdag"))))))</f>
        <v>Woensdag</v>
      </c>
      <c r="B15" s="24">
        <f>B13+1</f>
        <v>45476</v>
      </c>
      <c r="C15" s="25" t="s">
        <v>20</v>
      </c>
      <c r="D15" s="26">
        <v>0.33333333333333331</v>
      </c>
      <c r="E15" s="23" t="str">
        <f>IF(WEEKDAY(F15,1)=1,"Zondag",IF(WEEKDAY(F15,1)=2,"Maandag",IF(WEEKDAY(F15,1)=3,"Dinsdag",IF(WEEKDAY(F15,1)=4,"Woensdag",IF(WEEKDAY(F15,1)=5,"Donderdag",IF(WEEKDAY(F15,1)=6,"Vrijdag","Zaterdag"))))))</f>
        <v>Woensdag</v>
      </c>
      <c r="F15" s="24">
        <f>F13+1</f>
        <v>45483</v>
      </c>
      <c r="G15" s="25" t="s">
        <v>20</v>
      </c>
      <c r="H15" s="26">
        <v>0.33333333333333331</v>
      </c>
    </row>
    <row r="16" spans="1:12" ht="99.75" customHeight="1" x14ac:dyDescent="0.35">
      <c r="A16" s="38" t="s">
        <v>134</v>
      </c>
      <c r="B16" s="38"/>
      <c r="C16" s="38"/>
      <c r="D16" s="38"/>
      <c r="E16" s="38" t="s">
        <v>139</v>
      </c>
      <c r="F16" s="38"/>
      <c r="G16" s="38"/>
      <c r="H16" s="38"/>
    </row>
    <row r="17" spans="1:10" x14ac:dyDescent="0.35">
      <c r="A17" s="23" t="str">
        <f>IF(WEEKDAY(B17,1)=1,"Zondag",IF(WEEKDAY(B17,1)=2,"Maandag",IF(WEEKDAY(B17,1)=3,"Dinsdag",IF(WEEKDAY(B17,1)=4,"Woensdag",IF(WEEKDAY(B17,1)=5,"Donderdag",IF(WEEKDAY(B17,1)=6,"Vrijdag","Zaterdag"))))))</f>
        <v>Donderdag</v>
      </c>
      <c r="B17" s="24">
        <f>B15+1</f>
        <v>45477</v>
      </c>
      <c r="C17" s="25" t="s">
        <v>20</v>
      </c>
      <c r="D17" s="26">
        <v>0.33333333333333331</v>
      </c>
      <c r="E17" s="23" t="str">
        <f>IF(WEEKDAY(F17,1)=1,"Zondag",IF(WEEKDAY(F17,1)=2,"Maandag",IF(WEEKDAY(F17,1)=3,"Dinsdag",IF(WEEKDAY(F17,1)=4,"Woensdag",IF(WEEKDAY(F17,1)=5,"Donderdag",IF(WEEKDAY(F17,1)=6,"Vrijdag","Zaterdag"))))))</f>
        <v>Donderdag</v>
      </c>
      <c r="F17" s="24">
        <f>F15+1</f>
        <v>45484</v>
      </c>
      <c r="G17" s="25" t="s">
        <v>20</v>
      </c>
      <c r="H17" s="26">
        <v>0.33333333333333331</v>
      </c>
    </row>
    <row r="18" spans="1:10" ht="99.75" customHeight="1" x14ac:dyDescent="0.35">
      <c r="A18" s="38" t="s">
        <v>135</v>
      </c>
      <c r="B18" s="38"/>
      <c r="C18" s="38"/>
      <c r="D18" s="38"/>
      <c r="E18" s="38"/>
      <c r="F18" s="38"/>
      <c r="G18" s="38"/>
      <c r="H18" s="38"/>
    </row>
    <row r="19" spans="1:10" x14ac:dyDescent="0.35">
      <c r="A19" s="23" t="str">
        <f>IF(WEEKDAY(B19,1)=1,"Zondag",IF(WEEKDAY(B19,1)=2,"Maandag",IF(WEEKDAY(B19,1)=3,"Dinsdag",IF(WEEKDAY(B19,1)=4,"Woensdag",IF(WEEKDAY(B19,1)=5,"Donderdag",IF(WEEKDAY(B19,1)=6,"Vrijdag","Zaterdag"))))))</f>
        <v>Vrijdag</v>
      </c>
      <c r="B19" s="24">
        <f>B17+1</f>
        <v>45478</v>
      </c>
      <c r="C19" s="25" t="s">
        <v>20</v>
      </c>
      <c r="D19" s="26">
        <v>0.33333333333333331</v>
      </c>
      <c r="E19" s="23" t="str">
        <f>IF(WEEKDAY(F19,1)=1,"Zondag",IF(WEEKDAY(F19,1)=2,"Maandag",IF(WEEKDAY(F19,1)=3,"Dinsdag",IF(WEEKDAY(F19,1)=4,"Woensdag",IF(WEEKDAY(F19,1)=5,"Donderdag",IF(WEEKDAY(F19,1)=6,"Vrijdag","Zaterdag"))))))</f>
        <v>Vrijdag</v>
      </c>
      <c r="F19" s="24">
        <f>F17+1</f>
        <v>45485</v>
      </c>
      <c r="G19" s="25" t="s">
        <v>20</v>
      </c>
      <c r="H19" s="26">
        <v>0.33333333333333331</v>
      </c>
    </row>
    <row r="20" spans="1:10" ht="99.75" customHeight="1" x14ac:dyDescent="0.35">
      <c r="A20" s="38" t="s">
        <v>136</v>
      </c>
      <c r="B20" s="38"/>
      <c r="C20" s="38"/>
      <c r="D20" s="38"/>
      <c r="E20" s="50"/>
      <c r="F20" s="50"/>
      <c r="G20" s="50"/>
      <c r="H20" s="50"/>
    </row>
    <row r="21" spans="1:10" x14ac:dyDescent="0.35">
      <c r="A21" s="39" t="s">
        <v>21</v>
      </c>
      <c r="B21" s="39"/>
      <c r="C21" s="39"/>
      <c r="D21" s="27">
        <f>D11+D13+D15+D17+D19+H11+H13+H15+H17+H19</f>
        <v>3.3333333333333335</v>
      </c>
      <c r="E21" s="39" t="s">
        <v>22</v>
      </c>
      <c r="F21" s="39"/>
      <c r="G21" s="39"/>
      <c r="H21" s="27">
        <f>D21+'Werkstaat 10'!H21</f>
        <v>30.645833333333332</v>
      </c>
      <c r="J21" s="33"/>
    </row>
    <row r="22" spans="1:10" x14ac:dyDescent="0.35">
      <c r="A22" s="35" t="s">
        <v>23</v>
      </c>
      <c r="B22" s="35"/>
      <c r="C22" s="35"/>
      <c r="D22" s="16">
        <f>IF(D11&gt;0,1,0)+IF(D13&gt;0,1,0)+IF(D15&gt;0,1,0)+IF(D17&gt;0,1,0)+IF(D19&gt;0,1,0)+IF(H11&gt;0,1,0)+IF(H13&gt;0,1,0)+IF(H15&gt;0,1,0)+IF(H17&gt;0,1,0)+IF(H19&gt;0,1,0)</f>
        <v>10</v>
      </c>
      <c r="E22" s="35" t="s">
        <v>24</v>
      </c>
      <c r="F22" s="35"/>
      <c r="G22" s="35"/>
      <c r="H22" s="16">
        <f>D22+'Werkstaat 10'!H22</f>
        <v>93</v>
      </c>
    </row>
    <row r="23" spans="1:10"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10'!H23</f>
        <v>0</v>
      </c>
    </row>
    <row r="24" spans="1:10"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10'!H24</f>
        <v>5</v>
      </c>
    </row>
    <row r="25" spans="1:10" x14ac:dyDescent="0.35">
      <c r="A25" s="13"/>
      <c r="B25" s="19"/>
      <c r="C25" s="19"/>
      <c r="D25" s="19"/>
      <c r="H25" s="16"/>
    </row>
    <row r="26" spans="1:10" x14ac:dyDescent="0.35">
      <c r="A26" s="15"/>
      <c r="H26" s="16"/>
    </row>
    <row r="27" spans="1:10" x14ac:dyDescent="0.35">
      <c r="A27" s="15" t="s">
        <v>29</v>
      </c>
      <c r="B27" s="37"/>
      <c r="C27" s="37"/>
      <c r="D27" s="37"/>
      <c r="E27" t="s">
        <v>11</v>
      </c>
      <c r="F27" s="34"/>
      <c r="G27" s="34"/>
      <c r="H27" s="34"/>
    </row>
    <row r="28" spans="1:10" x14ac:dyDescent="0.35">
      <c r="A28" s="35" t="s">
        <v>30</v>
      </c>
      <c r="B28" s="49"/>
      <c r="C28" s="49"/>
      <c r="D28" s="49"/>
      <c r="H28" s="16"/>
    </row>
    <row r="29" spans="1:10" x14ac:dyDescent="0.35">
      <c r="A29" s="35"/>
      <c r="B29" s="49"/>
      <c r="C29" s="49"/>
      <c r="D29" s="49"/>
      <c r="H29" s="16"/>
    </row>
    <row r="30" spans="1:10" x14ac:dyDescent="0.35">
      <c r="A30" s="35"/>
      <c r="B30" s="49"/>
      <c r="C30" s="49"/>
      <c r="D30" s="49"/>
      <c r="E30" t="s">
        <v>31</v>
      </c>
      <c r="F30" s="34"/>
      <c r="G30" s="34"/>
      <c r="H30" s="34"/>
    </row>
    <row r="31" spans="1:10" x14ac:dyDescent="0.3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pageSetUpPr fitToPage="1"/>
  </sheetPr>
  <dimension ref="A1:L31"/>
  <sheetViews>
    <sheetView topLeftCell="A14" workbookViewId="0">
      <selection activeCell="D11" sqref="D11"/>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42" t="s">
        <v>13</v>
      </c>
      <c r="F1" s="42"/>
      <c r="G1" s="42"/>
      <c r="H1" s="7">
        <v>12</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44" t="str">
        <f>IF(ISBLANK(Algemeen!B4),"",Algemeen!B4)</f>
        <v>Rick Ambergen</v>
      </c>
      <c r="C3" s="44"/>
      <c r="D3" s="44"/>
      <c r="E3" s="15" t="s">
        <v>8</v>
      </c>
      <c r="F3" s="44" t="str">
        <f>IF(ISBLANK(Algemeen!B7),"",Algemeen!B7)</f>
        <v>Provrex</v>
      </c>
      <c r="G3" s="44"/>
      <c r="H3" s="44"/>
    </row>
    <row r="4" spans="1:12" x14ac:dyDescent="0.35">
      <c r="A4" s="15" t="s">
        <v>5</v>
      </c>
      <c r="B4" s="44" t="str">
        <f>IF(ISBLANK(Algemeen!B5),"",Algemeen!B5)</f>
        <v>Software Developer</v>
      </c>
      <c r="C4" s="44"/>
      <c r="D4" s="44"/>
      <c r="E4" s="15" t="s">
        <v>9</v>
      </c>
      <c r="F4" s="44" t="str">
        <f>IF(ISBLANK(Algemeen!B8),"",Algemeen!B8)</f>
        <v>Emmen</v>
      </c>
      <c r="G4" s="44"/>
      <c r="H4" s="44"/>
    </row>
    <row r="5" spans="1:12" x14ac:dyDescent="0.35">
      <c r="A5" s="15" t="s">
        <v>7</v>
      </c>
      <c r="B5" s="44" t="str">
        <f>IF(ISBLANK(Algemeen!B6),"",Algemeen!B6)</f>
        <v>2023/2024</v>
      </c>
      <c r="C5" s="44"/>
      <c r="D5" s="44"/>
      <c r="E5" s="15" t="s">
        <v>10</v>
      </c>
      <c r="F5" s="44" t="str">
        <f>IF(ISBLANK(Algemeen!B9),"",Algemeen!B9)</f>
        <v>Jeremai</v>
      </c>
      <c r="G5" s="44"/>
      <c r="H5" s="44"/>
    </row>
    <row r="6" spans="1:12" x14ac:dyDescent="0.35">
      <c r="A6" s="15" t="s">
        <v>17</v>
      </c>
      <c r="B6" s="45">
        <f>IF(ISBLANK(Algemeen!D4),"",Algemeen!D4)</f>
        <v>45334</v>
      </c>
      <c r="C6" s="45"/>
      <c r="D6" s="45"/>
      <c r="E6" s="15" t="s">
        <v>11</v>
      </c>
      <c r="F6" s="44" t="str">
        <f>IF(ISBLANK(Algemeen!B10),"",Algemeen!B10)</f>
        <v>Software Developer</v>
      </c>
      <c r="G6" s="44"/>
      <c r="H6" s="44"/>
    </row>
    <row r="7" spans="1:12" x14ac:dyDescent="0.35">
      <c r="A7" s="17" t="s">
        <v>18</v>
      </c>
      <c r="B7" s="46">
        <f>IF(ISBLANK(Algemeen!D5),"",Algemeen!D5)</f>
        <v>45480</v>
      </c>
      <c r="C7" s="46"/>
      <c r="D7" s="46"/>
      <c r="E7" s="17" t="s">
        <v>12</v>
      </c>
      <c r="F7" s="47" t="str">
        <f>IF(ISBLANK(Algemeen!B11),"",Algemeen!B11)</f>
        <v>Dhr. A.J. Nieboer</v>
      </c>
      <c r="G7" s="47"/>
      <c r="H7" s="47"/>
    </row>
    <row r="8" spans="1:12" x14ac:dyDescent="0.35">
      <c r="A8" s="13"/>
      <c r="B8" s="19"/>
      <c r="C8" s="19"/>
      <c r="D8" s="19"/>
      <c r="E8" s="19"/>
      <c r="F8" s="19"/>
      <c r="G8" s="19"/>
      <c r="H8" s="14"/>
    </row>
    <row r="9" spans="1:12" x14ac:dyDescent="0.35">
      <c r="A9" s="15"/>
      <c r="C9" s="48" t="s">
        <v>19</v>
      </c>
      <c r="D9" s="48"/>
      <c r="E9" s="20">
        <f>F11+14</f>
        <v>45509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45488</v>
      </c>
      <c r="C11" s="25" t="s">
        <v>20</v>
      </c>
      <c r="D11" s="26">
        <v>0</v>
      </c>
      <c r="E11" s="23" t="str">
        <f>IF(WEEKDAY(F11,1)=1,"Zondag",IF(WEEKDAY(F11,1)=2,"Maandag",IF(WEEKDAY(F11,1)=3,"Dinsdag",IF(WEEKDAY(F11,1)=4,"Woensdag",IF(WEEKDAY(F11,1)=5,"Donderdag",IF(WEEKDAY(F11,1)=6,"Vrijdag","Zaterdag"))))))</f>
        <v>Maandag</v>
      </c>
      <c r="F11" s="24">
        <f>B11+7</f>
        <v>45495</v>
      </c>
      <c r="G11" s="25" t="s">
        <v>20</v>
      </c>
      <c r="H11" s="26">
        <v>0</v>
      </c>
    </row>
    <row r="12" spans="1:12" ht="99.75" customHeight="1" x14ac:dyDescent="0.35">
      <c r="A12" s="41"/>
      <c r="B12" s="41"/>
      <c r="C12" s="41"/>
      <c r="D12" s="41"/>
      <c r="E12" s="38"/>
      <c r="F12" s="38"/>
      <c r="G12" s="38"/>
      <c r="H12" s="38"/>
    </row>
    <row r="13" spans="1:12" x14ac:dyDescent="0.35">
      <c r="A13" s="23" t="str">
        <f>IF(WEEKDAY(B13,1)=1,"Zondag",IF(WEEKDAY(B13,1)=2,"Maandag",IF(WEEKDAY(B13,1)=3,"Dinsdag",IF(WEEKDAY(B13,1)=4,"Woensdag",IF(WEEKDAY(B13,1)=5,"Donderdag",IF(WEEKDAY(B13,1)=6,"Vrijdag","Zaterdag"))))))</f>
        <v>Dinsdag</v>
      </c>
      <c r="B13" s="24">
        <f>B11+1</f>
        <v>45489</v>
      </c>
      <c r="C13" s="25" t="s">
        <v>20</v>
      </c>
      <c r="D13" s="26">
        <v>0</v>
      </c>
      <c r="E13" s="23" t="str">
        <f>IF(WEEKDAY(F13,1)=1,"Zondag",IF(WEEKDAY(F13,1)=2,"Maandag",IF(WEEKDAY(F13,1)=3,"Dinsdag",IF(WEEKDAY(F13,1)=4,"Woensdag",IF(WEEKDAY(F13,1)=5,"Donderdag",IF(WEEKDAY(F13,1)=6,"Vrijdag","Zaterdag"))))))</f>
        <v>Dinsdag</v>
      </c>
      <c r="F13" s="24">
        <f>F11+1</f>
        <v>45496</v>
      </c>
      <c r="G13" s="25" t="s">
        <v>20</v>
      </c>
      <c r="H13" s="26">
        <v>0</v>
      </c>
    </row>
    <row r="14" spans="1:12" ht="99.75" customHeight="1" x14ac:dyDescent="0.35">
      <c r="A14" s="38"/>
      <c r="B14" s="38"/>
      <c r="C14" s="38"/>
      <c r="D14" s="38"/>
      <c r="E14" s="38"/>
      <c r="F14" s="38"/>
      <c r="G14" s="38"/>
      <c r="H14" s="38"/>
    </row>
    <row r="15" spans="1:12" x14ac:dyDescent="0.35">
      <c r="A15" s="23" t="str">
        <f>IF(WEEKDAY(B15,1)=1,"Zondag",IF(WEEKDAY(B15,1)=2,"Maandag",IF(WEEKDAY(B15,1)=3,"Dinsdag",IF(WEEKDAY(B15,1)=4,"Woensdag",IF(WEEKDAY(B15,1)=5,"Donderdag",IF(WEEKDAY(B15,1)=6,"Vrijdag","Zaterdag"))))))</f>
        <v>Woensdag</v>
      </c>
      <c r="B15" s="24">
        <f>B13+1</f>
        <v>45490</v>
      </c>
      <c r="C15" s="25" t="s">
        <v>20</v>
      </c>
      <c r="D15" s="26">
        <v>0</v>
      </c>
      <c r="E15" s="23" t="str">
        <f>IF(WEEKDAY(F15,1)=1,"Zondag",IF(WEEKDAY(F15,1)=2,"Maandag",IF(WEEKDAY(F15,1)=3,"Dinsdag",IF(WEEKDAY(F15,1)=4,"Woensdag",IF(WEEKDAY(F15,1)=5,"Donderdag",IF(WEEKDAY(F15,1)=6,"Vrijdag","Zaterdag"))))))</f>
        <v>Woensdag</v>
      </c>
      <c r="F15" s="24">
        <f>F13+1</f>
        <v>45497</v>
      </c>
      <c r="G15" s="25" t="s">
        <v>20</v>
      </c>
      <c r="H15" s="26">
        <v>0</v>
      </c>
    </row>
    <row r="16" spans="1:12" ht="99.75" customHeight="1" x14ac:dyDescent="0.35">
      <c r="A16" s="38"/>
      <c r="B16" s="38"/>
      <c r="C16" s="38"/>
      <c r="D16" s="38"/>
      <c r="E16" s="38"/>
      <c r="F16" s="38"/>
      <c r="G16" s="38"/>
      <c r="H16" s="38"/>
    </row>
    <row r="17" spans="1:10" x14ac:dyDescent="0.35">
      <c r="A17" s="23" t="str">
        <f>IF(WEEKDAY(B17,1)=1,"Zondag",IF(WEEKDAY(B17,1)=2,"Maandag",IF(WEEKDAY(B17,1)=3,"Dinsdag",IF(WEEKDAY(B17,1)=4,"Woensdag",IF(WEEKDAY(B17,1)=5,"Donderdag",IF(WEEKDAY(B17,1)=6,"Vrijdag","Zaterdag"))))))</f>
        <v>Donderdag</v>
      </c>
      <c r="B17" s="24">
        <f>B15+1</f>
        <v>45491</v>
      </c>
      <c r="C17" s="25" t="s">
        <v>20</v>
      </c>
      <c r="D17" s="26">
        <v>0</v>
      </c>
      <c r="E17" s="23" t="str">
        <f>IF(WEEKDAY(F17,1)=1,"Zondag",IF(WEEKDAY(F17,1)=2,"Maandag",IF(WEEKDAY(F17,1)=3,"Dinsdag",IF(WEEKDAY(F17,1)=4,"Woensdag",IF(WEEKDAY(F17,1)=5,"Donderdag",IF(WEEKDAY(F17,1)=6,"Vrijdag","Zaterdag"))))))</f>
        <v>Donderdag</v>
      </c>
      <c r="F17" s="24">
        <f>F15+1</f>
        <v>45498</v>
      </c>
      <c r="G17" s="25" t="s">
        <v>20</v>
      </c>
      <c r="H17" s="26">
        <v>0</v>
      </c>
    </row>
    <row r="18" spans="1:10" ht="99.75" customHeight="1" x14ac:dyDescent="0.35">
      <c r="A18" s="38"/>
      <c r="B18" s="38"/>
      <c r="C18" s="38"/>
      <c r="D18" s="38"/>
      <c r="E18" s="38"/>
      <c r="F18" s="38"/>
      <c r="G18" s="38"/>
      <c r="H18" s="38"/>
    </row>
    <row r="19" spans="1:10" x14ac:dyDescent="0.35">
      <c r="A19" s="23" t="str">
        <f>IF(WEEKDAY(B19,1)=1,"Zondag",IF(WEEKDAY(B19,1)=2,"Maandag",IF(WEEKDAY(B19,1)=3,"Dinsdag",IF(WEEKDAY(B19,1)=4,"Woensdag",IF(WEEKDAY(B19,1)=5,"Donderdag",IF(WEEKDAY(B19,1)=6,"Vrijdag","Zaterdag"))))))</f>
        <v>Vrijdag</v>
      </c>
      <c r="B19" s="24">
        <f>B17+1</f>
        <v>45492</v>
      </c>
      <c r="C19" s="25" t="s">
        <v>20</v>
      </c>
      <c r="D19" s="26">
        <v>0</v>
      </c>
      <c r="E19" s="23" t="str">
        <f>IF(WEEKDAY(F19,1)=1,"Zondag",IF(WEEKDAY(F19,1)=2,"Maandag",IF(WEEKDAY(F19,1)=3,"Dinsdag",IF(WEEKDAY(F19,1)=4,"Woensdag",IF(WEEKDAY(F19,1)=5,"Donderdag",IF(WEEKDAY(F19,1)=6,"Vrijdag","Zaterdag"))))))</f>
        <v>Vrijdag</v>
      </c>
      <c r="F19" s="24">
        <f>F17+1</f>
        <v>45499</v>
      </c>
      <c r="G19" s="25" t="s">
        <v>20</v>
      </c>
      <c r="H19" s="26">
        <v>0</v>
      </c>
    </row>
    <row r="20" spans="1:10" ht="99.75" customHeight="1" x14ac:dyDescent="0.35">
      <c r="A20" s="38"/>
      <c r="B20" s="38"/>
      <c r="C20" s="38"/>
      <c r="D20" s="38"/>
      <c r="E20" s="50"/>
      <c r="F20" s="50"/>
      <c r="G20" s="50"/>
      <c r="H20" s="50"/>
    </row>
    <row r="21" spans="1:10" x14ac:dyDescent="0.35">
      <c r="A21" s="39" t="s">
        <v>21</v>
      </c>
      <c r="B21" s="39"/>
      <c r="C21" s="39"/>
      <c r="D21" s="27">
        <f>D11+D13+D15+D17+D19+H11+H13+H15+H17+H19</f>
        <v>0</v>
      </c>
      <c r="E21" s="39" t="s">
        <v>22</v>
      </c>
      <c r="F21" s="39"/>
      <c r="G21" s="39"/>
      <c r="H21" s="27">
        <f>D21+'Werkstaat 11'!H21</f>
        <v>30.645833333333332</v>
      </c>
      <c r="J21" s="33"/>
    </row>
    <row r="22" spans="1:10" x14ac:dyDescent="0.35">
      <c r="A22" s="35" t="s">
        <v>23</v>
      </c>
      <c r="B22" s="35"/>
      <c r="C22" s="35"/>
      <c r="D22" s="16">
        <f>IF(D11&gt;0,1,0)+IF(D13&gt;0,1,0)+IF(D15&gt;0,1,0)+IF(D17&gt;0,1,0)+IF(D19&gt;0,1,0)+IF(H11&gt;0,1,0)+IF(H13&gt;0,1,0)+IF(H15&gt;0,1,0)+IF(H17&gt;0,1,0)+IF(H19&gt;0,1,0)</f>
        <v>0</v>
      </c>
      <c r="E22" s="35" t="s">
        <v>24</v>
      </c>
      <c r="F22" s="35"/>
      <c r="G22" s="35"/>
      <c r="H22" s="16">
        <f>D22+'Werkstaat 11'!H22</f>
        <v>93</v>
      </c>
    </row>
    <row r="23" spans="1:10" x14ac:dyDescent="0.3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11'!H23</f>
        <v>0</v>
      </c>
    </row>
    <row r="24" spans="1:10" x14ac:dyDescent="0.3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11'!H24</f>
        <v>5</v>
      </c>
    </row>
    <row r="25" spans="1:10" x14ac:dyDescent="0.35">
      <c r="A25" s="13"/>
      <c r="B25" s="19"/>
      <c r="C25" s="19"/>
      <c r="D25" s="19"/>
      <c r="H25" s="16"/>
    </row>
    <row r="26" spans="1:10" x14ac:dyDescent="0.35">
      <c r="A26" s="15"/>
      <c r="H26" s="16"/>
    </row>
    <row r="27" spans="1:10" x14ac:dyDescent="0.35">
      <c r="A27" s="15" t="s">
        <v>29</v>
      </c>
      <c r="B27" s="37"/>
      <c r="C27" s="37"/>
      <c r="D27" s="37"/>
      <c r="E27" t="s">
        <v>11</v>
      </c>
      <c r="F27" s="34"/>
      <c r="G27" s="34"/>
      <c r="H27" s="34"/>
    </row>
    <row r="28" spans="1:10" x14ac:dyDescent="0.35">
      <c r="A28" s="35" t="s">
        <v>30</v>
      </c>
      <c r="B28" s="49"/>
      <c r="C28" s="49"/>
      <c r="D28" s="49"/>
      <c r="H28" s="16"/>
    </row>
    <row r="29" spans="1:10" x14ac:dyDescent="0.35">
      <c r="A29" s="35"/>
      <c r="B29" s="49"/>
      <c r="C29" s="49"/>
      <c r="D29" s="49"/>
      <c r="H29" s="16"/>
    </row>
    <row r="30" spans="1:10" x14ac:dyDescent="0.35">
      <c r="A30" s="35"/>
      <c r="B30" s="49"/>
      <c r="C30" s="49"/>
      <c r="D30" s="49"/>
      <c r="E30" t="s">
        <v>31</v>
      </c>
      <c r="F30" s="34"/>
      <c r="G30" s="34"/>
      <c r="H30" s="34"/>
    </row>
    <row r="31" spans="1:10" x14ac:dyDescent="0.3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13</vt:i4>
      </vt:variant>
    </vt:vector>
  </HeadingPairs>
  <TitlesOfParts>
    <vt:vector size="13" baseType="lpstr">
      <vt:lpstr>Algemeen</vt:lpstr>
      <vt:lpstr>Werkstaat 1</vt:lpstr>
      <vt:lpstr>Werkstaat 2</vt:lpstr>
      <vt:lpstr>Werkstaat 3</vt:lpstr>
      <vt:lpstr>Werkstaat 4</vt:lpstr>
      <vt:lpstr>Werkstaat 5</vt:lpstr>
      <vt:lpstr>Werkstaat 6</vt:lpstr>
      <vt:lpstr>Werkstaat 7</vt:lpstr>
      <vt:lpstr>Werkstaat 8</vt:lpstr>
      <vt:lpstr>Werkstaat 9</vt:lpstr>
      <vt:lpstr>Werkstaat 10</vt:lpstr>
      <vt:lpstr>Werkstaat 11</vt:lpstr>
      <vt:lpstr>Werkstaat 12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Visscher, Jan</dc:creator>
  <cp:lastModifiedBy>rick ambergen</cp:lastModifiedBy>
  <dcterms:created xsi:type="dcterms:W3CDTF">2014-08-28T16:57:12Z</dcterms:created>
  <dcterms:modified xsi:type="dcterms:W3CDTF">2024-07-11T01:57:12Z</dcterms:modified>
</cp:coreProperties>
</file>