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C80E003A-6C80-AF87-3323-10F97C11A349}"/>
  <workbookPr codeName="ThisWorkbook"/>
  <mc:AlternateContent xmlns:mc="http://schemas.openxmlformats.org/markup-compatibility/2006">
    <mc:Choice Requires="x15">
      <x15ac:absPath xmlns:x15ac="http://schemas.microsoft.com/office/spreadsheetml/2010/11/ac" url="C:\Users\mudas\Documents\GitHub\Rickmuda-portfolio-remix\Bestanden\"/>
    </mc:Choice>
  </mc:AlternateContent>
  <xr:revisionPtr revIDLastSave="0" documentId="13_ncr:1_{E473616D-733F-413B-AD4E-0D3BF868704C}" xr6:coauthVersionLast="47" xr6:coauthVersionMax="47" xr10:uidLastSave="{00000000-0000-0000-0000-000000000000}"/>
  <bookViews>
    <workbookView xWindow="-110" yWindow="-110" windowWidth="38620" windowHeight="21820" tabRatio="998" activeTab="11" xr2:uid="{00000000-000D-0000-FFFF-FFFF00000000}"/>
  </bookViews>
  <sheets>
    <sheet name="Algemeen" sheetId="1" r:id="rId1"/>
    <sheet name="Werkstaat 1" sheetId="2" r:id="rId2"/>
    <sheet name="Werkstaat 2" sheetId="3" r:id="rId3"/>
    <sheet name="Werkstaat 3" sheetId="4" r:id="rId4"/>
    <sheet name="Werkstaat 4" sheetId="5" r:id="rId5"/>
    <sheet name="Werkstaat 5" sheetId="6" r:id="rId6"/>
    <sheet name="Werkstaat 6" sheetId="7" r:id="rId7"/>
    <sheet name="Werkstaat 7" sheetId="8" r:id="rId8"/>
    <sheet name="Werkstaat 8" sheetId="9" r:id="rId9"/>
    <sheet name="Werkstaat 9" sheetId="10" r:id="rId10"/>
    <sheet name="Werkstaat 10" sheetId="11" r:id="rId11"/>
    <sheet name="Werkstaat 11" sheetId="12" r:id="rId12"/>
    <sheet name="Werkstaat 12" sheetId="13" r:id="rId1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2" l="1"/>
  <c r="F3" i="2"/>
  <c r="B4" i="2"/>
  <c r="F4" i="2"/>
  <c r="B5" i="2"/>
  <c r="F5" i="2"/>
  <c r="B6" i="2"/>
  <c r="E2" i="2" s="1"/>
  <c r="F6" i="2"/>
  <c r="B7" i="2"/>
  <c r="G2" i="2" s="1"/>
  <c r="F7" i="2"/>
  <c r="D21" i="2"/>
  <c r="H21" i="2" s="1"/>
  <c r="D22" i="2"/>
  <c r="H22" i="2" s="1"/>
  <c r="D23" i="2"/>
  <c r="H23" i="2" s="1"/>
  <c r="D24" i="2"/>
  <c r="H24" i="2" s="1"/>
  <c r="B3" i="11"/>
  <c r="F3" i="11"/>
  <c r="B4" i="11"/>
  <c r="F4" i="11"/>
  <c r="B5" i="11"/>
  <c r="F5" i="11"/>
  <c r="B6" i="11"/>
  <c r="E2" i="11" s="1"/>
  <c r="F6" i="11"/>
  <c r="B7" i="11"/>
  <c r="G2" i="11" s="1"/>
  <c r="F7" i="11"/>
  <c r="D21" i="11"/>
  <c r="D22" i="11"/>
  <c r="D23" i="11"/>
  <c r="D24" i="11"/>
  <c r="B3" i="12"/>
  <c r="F3" i="12"/>
  <c r="B4" i="12"/>
  <c r="F4" i="12"/>
  <c r="B5" i="12"/>
  <c r="F5" i="12"/>
  <c r="B6" i="12"/>
  <c r="B11" i="12" s="1"/>
  <c r="B13" i="12" s="1"/>
  <c r="B15" i="12" s="1"/>
  <c r="F6" i="12"/>
  <c r="B7" i="12"/>
  <c r="G2" i="12" s="1"/>
  <c r="F7" i="12"/>
  <c r="D21" i="12"/>
  <c r="D22" i="12"/>
  <c r="D23" i="12"/>
  <c r="D24" i="12"/>
  <c r="B3" i="13"/>
  <c r="F3" i="13"/>
  <c r="B4" i="13"/>
  <c r="F4" i="13"/>
  <c r="B5" i="13"/>
  <c r="F5" i="13"/>
  <c r="B6" i="13"/>
  <c r="B11" i="13" s="1"/>
  <c r="F6" i="13"/>
  <c r="B7" i="13"/>
  <c r="G2" i="13" s="1"/>
  <c r="F7" i="13"/>
  <c r="D21" i="13"/>
  <c r="D22" i="13"/>
  <c r="D23" i="13"/>
  <c r="D24" i="13"/>
  <c r="B3" i="3"/>
  <c r="F3" i="3"/>
  <c r="B4" i="3"/>
  <c r="F4" i="3"/>
  <c r="B5" i="3"/>
  <c r="F5" i="3"/>
  <c r="B6" i="3"/>
  <c r="B11" i="3" s="1"/>
  <c r="F6" i="3"/>
  <c r="B7" i="3"/>
  <c r="G2" i="3" s="1"/>
  <c r="F7" i="3"/>
  <c r="D21" i="3"/>
  <c r="D22" i="3"/>
  <c r="D23" i="3"/>
  <c r="D24" i="3"/>
  <c r="B3" i="4"/>
  <c r="F3" i="4"/>
  <c r="B4" i="4"/>
  <c r="F4" i="4"/>
  <c r="B5" i="4"/>
  <c r="F5" i="4"/>
  <c r="B6" i="4"/>
  <c r="E2" i="4" s="1"/>
  <c r="F6" i="4"/>
  <c r="B7" i="4"/>
  <c r="G2" i="4" s="1"/>
  <c r="F7" i="4"/>
  <c r="D21" i="4"/>
  <c r="D22" i="4"/>
  <c r="D23" i="4"/>
  <c r="D24" i="4"/>
  <c r="B3" i="5"/>
  <c r="F3" i="5"/>
  <c r="B4" i="5"/>
  <c r="F4" i="5"/>
  <c r="B5" i="5"/>
  <c r="F5" i="5"/>
  <c r="B6" i="5"/>
  <c r="E2" i="5" s="1"/>
  <c r="F6" i="5"/>
  <c r="B7" i="5"/>
  <c r="G2" i="5" s="1"/>
  <c r="F7" i="5"/>
  <c r="D21" i="5"/>
  <c r="D22" i="5"/>
  <c r="D23" i="5"/>
  <c r="D24" i="5"/>
  <c r="B3" i="6"/>
  <c r="F3" i="6"/>
  <c r="B4" i="6"/>
  <c r="F4" i="6"/>
  <c r="B5" i="6"/>
  <c r="F5" i="6"/>
  <c r="B6" i="6"/>
  <c r="B11" i="6" s="1"/>
  <c r="B13" i="6" s="1"/>
  <c r="F6" i="6"/>
  <c r="B7" i="6"/>
  <c r="G2" i="6" s="1"/>
  <c r="F7" i="6"/>
  <c r="D21" i="6"/>
  <c r="D22" i="6"/>
  <c r="D23" i="6"/>
  <c r="D24" i="6"/>
  <c r="B3" i="7"/>
  <c r="F3" i="7"/>
  <c r="B4" i="7"/>
  <c r="F4" i="7"/>
  <c r="B5" i="7"/>
  <c r="F5" i="7"/>
  <c r="B6" i="7"/>
  <c r="B11" i="7" s="1"/>
  <c r="A11" i="7" s="1"/>
  <c r="F6" i="7"/>
  <c r="B7" i="7"/>
  <c r="G2" i="7" s="1"/>
  <c r="F7" i="7"/>
  <c r="D21" i="7"/>
  <c r="D22" i="7"/>
  <c r="D23" i="7"/>
  <c r="D24" i="7"/>
  <c r="B3" i="8"/>
  <c r="F3" i="8"/>
  <c r="B4" i="8"/>
  <c r="F4" i="8"/>
  <c r="B5" i="8"/>
  <c r="F5" i="8"/>
  <c r="B6" i="8"/>
  <c r="F6" i="8"/>
  <c r="B7" i="8"/>
  <c r="G2" i="8" s="1"/>
  <c r="F7" i="8"/>
  <c r="D21" i="8"/>
  <c r="D22" i="8"/>
  <c r="D23" i="8"/>
  <c r="D24" i="8"/>
  <c r="B3" i="9"/>
  <c r="F3" i="9"/>
  <c r="B4" i="9"/>
  <c r="F4" i="9"/>
  <c r="B5" i="9"/>
  <c r="F5" i="9"/>
  <c r="B6" i="9"/>
  <c r="B11" i="9" s="1"/>
  <c r="F6" i="9"/>
  <c r="B7" i="9"/>
  <c r="G2" i="9" s="1"/>
  <c r="F7" i="9"/>
  <c r="D21" i="9"/>
  <c r="D22" i="9"/>
  <c r="D23" i="9"/>
  <c r="D24" i="9"/>
  <c r="B3" i="10"/>
  <c r="F3" i="10"/>
  <c r="B4" i="10"/>
  <c r="F4" i="10"/>
  <c r="B5" i="10"/>
  <c r="F5" i="10"/>
  <c r="B6" i="10"/>
  <c r="E2" i="10" s="1"/>
  <c r="F6" i="10"/>
  <c r="B7" i="10"/>
  <c r="G2" i="10" s="1"/>
  <c r="F7" i="10"/>
  <c r="D21" i="10"/>
  <c r="D22" i="10"/>
  <c r="D23" i="10"/>
  <c r="D24" i="10"/>
  <c r="E2" i="13"/>
  <c r="B11" i="10" l="1"/>
  <c r="A11" i="10" s="1"/>
  <c r="H21" i="3"/>
  <c r="H21" i="4" s="1"/>
  <c r="H21" i="5" s="1"/>
  <c r="H21" i="6" s="1"/>
  <c r="H21" i="7" s="1"/>
  <c r="H21" i="8" s="1"/>
  <c r="H21" i="9" s="1"/>
  <c r="H21" i="10" s="1"/>
  <c r="H21" i="11" s="1"/>
  <c r="H21" i="12" s="1"/>
  <c r="H21" i="13" s="1"/>
  <c r="E2" i="6"/>
  <c r="E2" i="12"/>
  <c r="H22" i="3"/>
  <c r="H22" i="4" s="1"/>
  <c r="H22" i="5" s="1"/>
  <c r="H22" i="6" s="1"/>
  <c r="H22" i="7" s="1"/>
  <c r="H22" i="8" s="1"/>
  <c r="H22" i="9" s="1"/>
  <c r="H22" i="10" s="1"/>
  <c r="H22" i="11" s="1"/>
  <c r="H22" i="12" s="1"/>
  <c r="H22" i="13" s="1"/>
  <c r="E2" i="7"/>
  <c r="H24" i="3"/>
  <c r="H24" i="4" s="1"/>
  <c r="H24" i="5" s="1"/>
  <c r="H24" i="6" s="1"/>
  <c r="H24" i="7" s="1"/>
  <c r="H24" i="8" s="1"/>
  <c r="H24" i="9" s="1"/>
  <c r="H24" i="10" s="1"/>
  <c r="H24" i="11" s="1"/>
  <c r="H24" i="12" s="1"/>
  <c r="H24" i="13" s="1"/>
  <c r="H23" i="3"/>
  <c r="H23" i="4" s="1"/>
  <c r="H23" i="5" s="1"/>
  <c r="H23" i="6" s="1"/>
  <c r="H23" i="7" s="1"/>
  <c r="H23" i="8" s="1"/>
  <c r="H23" i="9" s="1"/>
  <c r="H23" i="10" s="1"/>
  <c r="H23" i="11" s="1"/>
  <c r="H23" i="12" s="1"/>
  <c r="H23" i="13" s="1"/>
  <c r="B11" i="2"/>
  <c r="A11" i="2" s="1"/>
  <c r="B11" i="11"/>
  <c r="B11" i="5"/>
  <c r="A11" i="5" s="1"/>
  <c r="E2" i="3"/>
  <c r="A13" i="6"/>
  <c r="B15" i="6"/>
  <c r="B11" i="4"/>
  <c r="B13" i="7"/>
  <c r="F11" i="7"/>
  <c r="A11" i="6"/>
  <c r="F11" i="12"/>
  <c r="F13" i="12" s="1"/>
  <c r="F11" i="6"/>
  <c r="B17" i="12"/>
  <c r="A15" i="12"/>
  <c r="A11" i="9"/>
  <c r="B13" i="9"/>
  <c r="A11" i="13"/>
  <c r="F11" i="13"/>
  <c r="B13" i="13"/>
  <c r="F11" i="10"/>
  <c r="A13" i="12"/>
  <c r="A11" i="12"/>
  <c r="E2" i="9"/>
  <c r="B13" i="10"/>
  <c r="F11" i="9"/>
  <c r="E2" i="8"/>
  <c r="B11" i="8"/>
  <c r="A11" i="3"/>
  <c r="F11" i="3"/>
  <c r="B13" i="3"/>
  <c r="B13" i="2" l="1"/>
  <c r="F11" i="2"/>
  <c r="A11" i="11"/>
  <c r="B13" i="11"/>
  <c r="F11" i="11"/>
  <c r="F13" i="11" s="1"/>
  <c r="F15" i="11" s="1"/>
  <c r="F11" i="5"/>
  <c r="E11" i="5" s="1"/>
  <c r="B13" i="5"/>
  <c r="B15" i="5" s="1"/>
  <c r="E11" i="12"/>
  <c r="E9" i="6"/>
  <c r="F13" i="6"/>
  <c r="E11" i="6"/>
  <c r="A13" i="7"/>
  <c r="B15" i="7"/>
  <c r="E13" i="12"/>
  <c r="F15" i="12"/>
  <c r="E9" i="12"/>
  <c r="B13" i="4"/>
  <c r="A11" i="4"/>
  <c r="B17" i="6"/>
  <c r="A15" i="6"/>
  <c r="F11" i="4"/>
  <c r="E9" i="4" s="1"/>
  <c r="F13" i="7"/>
  <c r="E9" i="7"/>
  <c r="E11" i="7"/>
  <c r="F13" i="3"/>
  <c r="E9" i="3"/>
  <c r="E11" i="3"/>
  <c r="E11" i="9"/>
  <c r="F13" i="9"/>
  <c r="E9" i="9"/>
  <c r="F13" i="13"/>
  <c r="E9" i="13"/>
  <c r="E11" i="13"/>
  <c r="A13" i="2"/>
  <c r="B15" i="2"/>
  <c r="A11" i="8"/>
  <c r="B13" i="8"/>
  <c r="F11" i="8"/>
  <c r="B15" i="9"/>
  <c r="A13" i="9"/>
  <c r="A13" i="3"/>
  <c r="B15" i="3"/>
  <c r="A13" i="10"/>
  <c r="B15" i="10"/>
  <c r="E9" i="10"/>
  <c r="E11" i="10"/>
  <c r="F13" i="10"/>
  <c r="B15" i="13"/>
  <c r="A13" i="13"/>
  <c r="B19" i="12"/>
  <c r="A19" i="12" s="1"/>
  <c r="A17" i="12"/>
  <c r="E9" i="5" l="1"/>
  <c r="F13" i="5"/>
  <c r="E11" i="11"/>
  <c r="E9" i="11"/>
  <c r="A13" i="11"/>
  <c r="B15" i="11"/>
  <c r="E13" i="11"/>
  <c r="A13" i="5"/>
  <c r="F13" i="2"/>
  <c r="E11" i="2"/>
  <c r="E9" i="2"/>
  <c r="E11" i="4"/>
  <c r="F13" i="4"/>
  <c r="F15" i="4" s="1"/>
  <c r="E13" i="7"/>
  <c r="F15" i="7"/>
  <c r="A13" i="4"/>
  <c r="B15" i="4"/>
  <c r="A15" i="5"/>
  <c r="B17" i="5"/>
  <c r="F15" i="6"/>
  <c r="E13" i="6"/>
  <c r="A17" i="6"/>
  <c r="B19" i="6"/>
  <c r="A19" i="6" s="1"/>
  <c r="F17" i="12"/>
  <c r="E15" i="12"/>
  <c r="A15" i="7"/>
  <c r="B17" i="7"/>
  <c r="A15" i="9"/>
  <c r="B17" i="9"/>
  <c r="B15" i="8"/>
  <c r="A13" i="8"/>
  <c r="E13" i="13"/>
  <c r="F15" i="13"/>
  <c r="A15" i="10"/>
  <c r="B17" i="10"/>
  <c r="F17" i="11"/>
  <c r="E15" i="11"/>
  <c r="E13" i="10"/>
  <c r="F15" i="10"/>
  <c r="A15" i="2"/>
  <c r="B17" i="2"/>
  <c r="B17" i="13"/>
  <c r="A15" i="13"/>
  <c r="A15" i="3"/>
  <c r="B17" i="3"/>
  <c r="F13" i="8"/>
  <c r="E11" i="8"/>
  <c r="E9" i="8"/>
  <c r="F15" i="9"/>
  <c r="E13" i="9"/>
  <c r="F15" i="3"/>
  <c r="E13" i="3"/>
  <c r="E13" i="4" l="1"/>
  <c r="B17" i="11"/>
  <c r="A15" i="11"/>
  <c r="E13" i="5"/>
  <c r="F15" i="5"/>
  <c r="E13" i="2"/>
  <c r="F15" i="2"/>
  <c r="A15" i="4"/>
  <c r="B17" i="4"/>
  <c r="E17" i="12"/>
  <c r="F19" i="12"/>
  <c r="E19" i="12" s="1"/>
  <c r="E15" i="6"/>
  <c r="F17" i="6"/>
  <c r="B19" i="7"/>
  <c r="A19" i="7" s="1"/>
  <c r="A17" i="7"/>
  <c r="A17" i="5"/>
  <c r="B19" i="5"/>
  <c r="A19" i="5" s="1"/>
  <c r="E15" i="7"/>
  <c r="F17" i="7"/>
  <c r="F17" i="3"/>
  <c r="E15" i="3"/>
  <c r="E15" i="4"/>
  <c r="F17" i="4"/>
  <c r="A17" i="3"/>
  <c r="B19" i="3"/>
  <c r="A19" i="3" s="1"/>
  <c r="A17" i="2"/>
  <c r="B19" i="2"/>
  <c r="A19" i="2" s="1"/>
  <c r="F17" i="10"/>
  <c r="E15" i="10"/>
  <c r="A17" i="10"/>
  <c r="B19" i="10"/>
  <c r="A19" i="10" s="1"/>
  <c r="B19" i="9"/>
  <c r="A19" i="9" s="1"/>
  <c r="A17" i="9"/>
  <c r="F17" i="9"/>
  <c r="E15" i="9"/>
  <c r="F17" i="13"/>
  <c r="E15" i="13"/>
  <c r="E13" i="8"/>
  <c r="F15" i="8"/>
  <c r="A17" i="13"/>
  <c r="B19" i="13"/>
  <c r="A19" i="13" s="1"/>
  <c r="E17" i="11"/>
  <c r="F19" i="11"/>
  <c r="E19" i="11" s="1"/>
  <c r="B17" i="8"/>
  <c r="A15" i="8"/>
  <c r="F17" i="2" l="1"/>
  <c r="E15" i="2"/>
  <c r="E15" i="5"/>
  <c r="F17" i="5"/>
  <c r="B19" i="11"/>
  <c r="A19" i="11" s="1"/>
  <c r="A17" i="11"/>
  <c r="E17" i="7"/>
  <c r="F19" i="7"/>
  <c r="E19" i="7" s="1"/>
  <c r="F19" i="6"/>
  <c r="E19" i="6" s="1"/>
  <c r="E17" i="6"/>
  <c r="B19" i="4"/>
  <c r="A19" i="4" s="1"/>
  <c r="A17" i="4"/>
  <c r="E17" i="4"/>
  <c r="F19" i="4"/>
  <c r="E19" i="4" s="1"/>
  <c r="A17" i="8"/>
  <c r="B19" i="8"/>
  <c r="A19" i="8" s="1"/>
  <c r="F19" i="13"/>
  <c r="E19" i="13" s="1"/>
  <c r="E17" i="13"/>
  <c r="E15" i="8"/>
  <c r="F17" i="8"/>
  <c r="E17" i="9"/>
  <c r="F19" i="9"/>
  <c r="E19" i="9" s="1"/>
  <c r="E17" i="10"/>
  <c r="F19" i="10"/>
  <c r="E19" i="10" s="1"/>
  <c r="F19" i="3"/>
  <c r="E19" i="3" s="1"/>
  <c r="E17" i="3"/>
  <c r="E17" i="5" l="1"/>
  <c r="F19" i="5"/>
  <c r="E19" i="5" s="1"/>
  <c r="E17" i="2"/>
  <c r="F19" i="2"/>
  <c r="E19" i="2" s="1"/>
  <c r="E17" i="8"/>
  <c r="F19" i="8"/>
  <c r="E19" i="8" s="1"/>
</calcChain>
</file>

<file path=xl/sharedStrings.xml><?xml version="1.0" encoding="utf-8"?>
<sst xmlns="http://schemas.openxmlformats.org/spreadsheetml/2006/main" count="574" uniqueCount="141">
  <si>
    <t>werkstaten</t>
  </si>
  <si>
    <t>Algemene informatie</t>
  </si>
  <si>
    <t>kolom B en D invullen</t>
  </si>
  <si>
    <t>Naam</t>
  </si>
  <si>
    <t>datum 1e stagedag</t>
  </si>
  <si>
    <t>Opleiding</t>
  </si>
  <si>
    <t>datum laatste stagedag</t>
  </si>
  <si>
    <t>Cursusjaar</t>
  </si>
  <si>
    <t>BPV-bedrijf</t>
  </si>
  <si>
    <t>Plaats</t>
  </si>
  <si>
    <t>Praktijkopleider</t>
  </si>
  <si>
    <t>Functie</t>
  </si>
  <si>
    <t>BPV-docent</t>
  </si>
  <si>
    <t>Werkstaat</t>
  </si>
  <si>
    <t>Periode</t>
  </si>
  <si>
    <t>van</t>
  </si>
  <si>
    <t>t/m</t>
  </si>
  <si>
    <t>stage van</t>
  </si>
  <si>
    <t>tot</t>
  </si>
  <si>
    <t xml:space="preserve">inleveren uiterlijk </t>
  </si>
  <si>
    <t>aantal uren</t>
  </si>
  <si>
    <t>aantal gewerkte uren deze twee weken</t>
  </si>
  <si>
    <t>aantal gewerkte uren cumulatief</t>
  </si>
  <si>
    <t>aantal gewerkte dagen deze twee weken</t>
  </si>
  <si>
    <t>aantal gewerkte dagen cumulatief</t>
  </si>
  <si>
    <t>aantal verlofdagen deze twee weken</t>
  </si>
  <si>
    <t>aantal verlofdagen cumulatief</t>
  </si>
  <si>
    <t>aantal ziektedagen deze twee weken</t>
  </si>
  <si>
    <t>aantal ziektedagen cumulatief</t>
  </si>
  <si>
    <t>Getekend door</t>
  </si>
  <si>
    <t>Handtekening</t>
  </si>
  <si>
    <t>Datum</t>
  </si>
  <si>
    <t>Software Developer</t>
  </si>
  <si>
    <t>2023/2024</t>
  </si>
  <si>
    <t>Dhr. A.J. Nieboer</t>
  </si>
  <si>
    <t>Rick Ambergen</t>
  </si>
  <si>
    <t>Provrex</t>
  </si>
  <si>
    <t>Emmen</t>
  </si>
  <si>
    <t>Jeremai</t>
  </si>
  <si>
    <t>Korte introductie met React, Three en Drei. 3D model op de webpagina geladen en met een background en camera controls goed bekijkbaar gemaakt.</t>
  </si>
  <si>
    <t>Verder gegaan met react, three en drei. Heb een box meer mesh gegeven en met deze mesh 3 boxxes gemaakt.</t>
  </si>
  <si>
    <t>Een dook genomen in de basis basis van react en hier dan uiteindelijk een tictactoe game hiermee gemaakt na het volgen van een tutorial.</t>
  </si>
  <si>
    <t>Ziek</t>
  </si>
  <si>
    <t>Een begin gemaakt met Three.js zodat ik alle informatie die er bij sprake komt ook duidelijk te lezen/begrijpen is voor mezelf.</t>
  </si>
  <si>
    <t>Veel gecommuniceerd met collegas en veel kennis opgedaan van wat het bedrijf nogmeer doet achter de schermen.</t>
  </si>
  <si>
    <t>Uitgevogeld hoe ik vanuit de code de kleur van de vertices kan veranderen.</t>
  </si>
  <si>
    <t>Vandaag heb ik eindelijk geleerd hoe ik 3dmodelen op een webpagina kan zetten en deze dan ook met de bijhoorende textures toegevoegd worden samen met het licht.</t>
  </si>
  <si>
    <t>Verder gegaan met het optimaliseren van gisteren.</t>
  </si>
  <si>
    <t>Thuis verder gewerkt aan het optimaliseren.</t>
  </si>
  <si>
    <t>Thuis verder gewerkt aan het model makkelijker via controls van kleur en lengte kunnen aanpassen.</t>
  </si>
  <si>
    <t>Op het kantoor verder gewerkt aan dezelfe functies en deze steeds meer geomptimaliseerd krijgen.</t>
  </si>
  <si>
    <t>Geprobeerd de slider zo te krijgen dat ipv de lengte van het model langer wordt er meer modellen gegenereed worden en deze hiernaast geplaats worden.</t>
  </si>
  <si>
    <t>Enorm veel tegenslag maar verder even naar de code van Salcon en Virtutec gekeken om hier misschien wat meer van te leren.</t>
  </si>
  <si>
    <t>Verder gekeken naar de code van Salcon en Virtutec en hier heb ik wel een paar dingen van geleerd heb.</t>
  </si>
  <si>
    <t>Weer een poging gegeven aan het "langer maken" van de rollerbaan. Niet gelukt gaan morgen verder.</t>
  </si>
  <si>
    <t>Weer verder gegaan met project van de dag hiervoor echter loop ik telkens tegende dezelfde muur aan.</t>
  </si>
  <si>
    <t>Heb wat collegas gevraagd wat die dachten dat het kon zijn, werd aangeraden om de threejs documentatie te bekijken en de voorbeelden te bekijken en kijken of hier its nuttigs tussen zit waar ik gebruik van kan maken.</t>
  </si>
  <si>
    <t>Bezoek kaakchirurg(9 t/m 11), thuis gewerkt voor de rest van de dag. Door de voorbeelden van threejs gekeken, niks kunnen vinden jammer genoeg.</t>
  </si>
  <si>
    <t xml:space="preserve">Vannuit huis gewerkt vandaag omdat ik enorm veel last had van mn kaak en hierdoor slecht geslapen heb. </t>
  </si>
  <si>
    <t>Thuisgewerkt omdat ik een afspraak had bij de huisarts. Weer verder gewerkt aan het proberen de rollerbaan langer te maken.</t>
  </si>
  <si>
    <t>De rollerbaan kan ik eindelijk langermaken en veranderen van kleur door middel van een slider en een color selector.</t>
  </si>
  <si>
    <t>Vrij</t>
  </si>
  <si>
    <t>Verder geprobeerd nou in plaats van meerdere modellen het "langer" maken, de rollerbaan op te delen tussen de rollerbaan zelf, de motor en het eind plaatje hiervan de mesh te dupliceren en deze op plek kunnen zetten.</t>
  </si>
  <si>
    <t>Niet heel veel kunnen doen vandaag, vrij gedemotiveerd met het rollerbaan project. Heb een bericht naar Jeramai gestuurd om te kijken of ik eventueel ook eerst een paar opdrachten eerst te gaan doen voordat ik verder ga met de rollerbaan parametisch te maken.</t>
  </si>
  <si>
    <t>Gesprek met Jeramai gehad, plan gaat als volgd. Ik ga werken in sprints van 2 weken. De aankomende 2 weken ga ik bezig met wat kleinere opdrachten die er klaar zijn gezet voor me.Verder vandaag bezig  geweest met Salcon klaar zetten zodat ik hier ook mee aan het werk kan</t>
  </si>
  <si>
    <t>Begin gemaakt met het klaar maken van de salcon werkomgeving. Loopt niet allemaal zo snel als ik wil maar denk dat ik er vanzelf snel genoeg achter kom.</t>
  </si>
  <si>
    <t>Heb de readme files gevonden die bij de 5 repositories zitten, hier staat (niet super duidelijk)  in hoe ik de salcon werk omgeving draaiend kan krijgen.</t>
  </si>
  <si>
    <t>Heb de readme files doorgelezen en collegas om hulp gevraagd. Blijkt dat ik meerdere platformen tergelijk moet hebben runnen (salcon API, dashboard en viewer &amp; virtutech API en dashboard ) maar hoe dit precies moet ga ik morgen mee verder.</t>
  </si>
  <si>
    <t>Heb de salcon API, dashboard en viewer aan de praat gekregen nou nog kijken hoe ik de API en dashboard van virtutech aan de praat kan krijgen.</t>
  </si>
  <si>
    <t>Heb alles zover draaiend gekregen maar om de 1 of andere reden krijg ik geen verbinding met de database en weet zo niet waarom</t>
  </si>
  <si>
    <t>Ik had XAMPP niet aanstaan.... Maar om de 1 of andere reden werkt virtutech wel maar ik kan niet de switch maken naar salcon vanwege een authentication error en ik weet niet waar deze vandaan komt.</t>
  </si>
  <si>
    <t>Aan Ryan gevraagd of die toevallig wist waar het kon liggen heeft me laten zien dat ik een minio docker moest gebruiken en het heeft wel iets veranderd maar niet opgelost jammer genoeg.</t>
  </si>
  <si>
    <t xml:space="preserve"> 2e paasdag</t>
  </si>
  <si>
    <t>Niet 100% fit dus besloten om thuis te werken. Geprobeert thuis de omgeving aan het werk tekrijgen maar kreeg bij het proberen op te starten van docker al meerdere error codes over een vmachine driver die missende was ookal had ik deze al wel en deze ook aanstonden.</t>
  </si>
  <si>
    <t>Uiteindelijk de salcon dev env aan de praat gekregen net aan het einde van de dag dus ga morgen beginnen met het toevoegen van de functie dat je de models van kleur kan veranderen met een klein kleuze schermpie.</t>
  </si>
  <si>
    <t>…. Ennnn ik heb XAMPP opnieuw mogen instaleren incl de databases voor virtutec en salcon. Maar gelukkig heb ik documentatie gemaakt over het instaleren van de dev env en heb ik deze erbij kunnen gebruiken. Dus nou ga ik maandag beginnen aan waar ik vandaag mee wou beginnen.</t>
  </si>
  <si>
    <t>Vandaag verder gewerkt aan documentatie maken over het instellen van de salcon dev env. (Zowel eerste keer als daarna opstarten.)</t>
  </si>
  <si>
    <t>EINDELIJK heb ik iets in de salcon werkomgeving kunnen maken. Als een model nu geselecteerd is staat de optie om de kleur en texture te veranderen erbij. Echter werken deze nog niet.</t>
  </si>
  <si>
    <t>Vandaag verder gewerkt aan de 2 functies van gisteren niet heel veel verandering mee gekomen, wel heb ik ook naar de andere "opdrachten" gekeken en bij welke files ik moet wezen voor de mogelijke toekomst.</t>
  </si>
  <si>
    <t>Verder gegaan met de color picker functie maar krijg het nogsteeds niet voorelkaar dus volgende week even samen met jeremai naar kijken</t>
  </si>
  <si>
    <t>Moeilijke start van de week, color picker werkt nogsteeds niet en combinatie van feit dat het maandag is en het weer erg somber is vandaag weinig motivatie :(</t>
  </si>
  <si>
    <t>Verder gegaan met trouble shooten van de color picker en de texture picker want om de 1 of andere reden werken ze beide niet.</t>
  </si>
  <si>
    <t>Weer een dag aan hetzelfde gewerkt, misschien niet veel progressie gemaakt maar ik begin wel een duidelijk beel voor mezelf te krijgen welke exacte kant ik graag op wil gaan qua programerings gebied.</t>
  </si>
  <si>
    <t>Verder gegaan met trouble shooten van alleen de color picker voor nu, enigzins wel iets verder gekomen met de kennis over hoe de code allemaal beetje geschreven is maar er is nogsteeds gewoon veel onduidelijk over wat er mis gaat.</t>
  </si>
  <si>
    <t>In overleg besloten dat ik de dashboard van virtutec daadwerkelijk bruikbaar ga maken met functies die daadwerkelijk ook toepassen op wat er in virtutec zelf hoort/moet gebeuren.</t>
  </si>
  <si>
    <t>Was m'n verjaardag dus heb deze dag vrij genomenom de dag te spenderen met mn familie en vrienden.</t>
  </si>
  <si>
    <t>s'ochtends naar de huisarts geweest, rest van de dag ziek in bed gelegen.</t>
  </si>
  <si>
    <t>Verder gegaan met het dashboard maar blijf tegen dezelfde problemen aanlopen en dat is dat ik er niet uitkom dus besloten om meer onderzoek te gaan doen naar de basics van react zelf.</t>
  </si>
  <si>
    <t>Weer verder pogingen gedaan om de shortcut component van het dashboard functionerend te maken, er staat nu tenminste een extra blok bij maar dat is het ook voorderest nog niks.</t>
  </si>
  <si>
    <t>Verder proberen te gaan met het maken van de shortcuts maar voor de 1 of andere reden pakt hij de kleur niet eens goed dus waar dit aan ligt ik heb geen idee maar ik ga hier morgen weer mee verder.</t>
  </si>
  <si>
    <t>Goed verslapen was rond 12 op kantoor verder gegaan waarmee ik gisteren ook bezig was.</t>
  </si>
  <si>
    <t>Weer verder pogingen gedaan om daadwerkelijk nieuwe functies te maken voor het dashboard maar schiet er eigenlijk echt niks mee vooruit. Morgenvroeg tijdens standup Jeramai eve vragen</t>
  </si>
  <si>
    <t>Begonnen met het volgen van de react documentatie, merkte van mezelf dat ik echt nog 0 kennis erover had dus vandaar dat ik eindelijk maar toch een begin ga maken.</t>
  </si>
  <si>
    <t>Verder gegaan met de react documentatie, uiteindelijk bij een kort begin gemaakt met de tictactoe tutorial maar niet ver mee gekomen want de concentratie was ver te zoeken vandaag.</t>
  </si>
  <si>
    <t>Vandaag een enorm eind gekomen met het volgen van de react documentatie/tutorial van de tic-tac-toe game. Ik had meer kunnen doen maar ik ben opzich wel tevreden met mn progressie van vandaag.</t>
  </si>
  <si>
    <t>Verder gegaan met de tic-tac-toe van de react documentatie en er ook gelijk nog wat css bij aan toegevoegd.</t>
  </si>
  <si>
    <t>Hemelsvaart</t>
  </si>
  <si>
    <t>Kantoor gesloten</t>
  </si>
  <si>
    <t>De tic-tac-toe is klaar en aangezien we een lang weekend hebben ben ik maar verder gaan werken aan de css waarmee ik al bezig was puur zodat ik dat ook niet vergeet hoe ik daarmee moet werken en het is wel fijn om een keer weer mn creativiteit te uiten.</t>
  </si>
  <si>
    <t>Door de warmte van vandaag niet heel veel gedaan want kom mn concentratie er niet goed bijhouden maar wel veel gelezen uit de documentatie van react.</t>
  </si>
  <si>
    <t>Time travel aan de boterkaas en eieren toegevoegd en hiermee de tictactoe documentatie afgerond van react en morgen verder gaan met de volgende pagina.</t>
  </si>
  <si>
    <t>2e pinksterdag</t>
  </si>
  <si>
    <t>Gewerkt aan de optimalizatie van de react projecten, waaronder de look en de functionalieteit van de webpagina</t>
  </si>
  <si>
    <t>Verder gegaan waar ik gisteren ook mee bezig was en begonnen met het stuk "thinking in react".</t>
  </si>
  <si>
    <t xml:space="preserve">Eerste "lijst" gemaakt volgens het "thinking in react" stuk van de documentatie </t>
  </si>
  <si>
    <t>Dieper gekeken naar de algeschreven code een paar aanpassingen gedaan waardoor het er iets beter uitziet en voor de rest ook kloppend is</t>
  </si>
  <si>
    <t>De laatste pagina aan react documentatie afgemaakt en heb nu een stuk meer kennis over wat react doet maar ook hoe react werkt en waarom het heel handig is om er gebruik van te maken.</t>
  </si>
  <si>
    <t>Vakantie</t>
  </si>
  <si>
    <t>Begin gemaakt met het lvt project te maken met react, gaat enigzins goed maar heb hier en daar nog wel gebruik gemaakt van chatgpt en de react documentatie om verder te komen.</t>
  </si>
  <si>
    <t>Vandaag niet heel veel gedaan, erg druk in mn hoofd ivm het feit dat het heel slecht gaat met mn hond.</t>
  </si>
  <si>
    <t>Weer begonnen aan de 'lvt', beetje een langzame start maar heb em totzover klaar maar wil het later nog meer in verdiepen om de UI beter te laten lijken en meer funcionaliteiten erin verwerken.</t>
  </si>
  <si>
    <t>Vandaag begonnen met mn stageproject, het opnieuw bouwen van mn portfolio met remix (een react meta framework.) Heb vandaag een groot stuk van de documentatie gelezen.</t>
  </si>
  <si>
    <t>Verder de documentatie gelezen, tis vrij ingewikkeld allemaal maar echter wel heel interesant.</t>
  </si>
  <si>
    <t>Vandaag de documentatie van react afgerond en ben begonnen met de wireframe voor mn portfolio.</t>
  </si>
  <si>
    <t>Concentratie en inspiratie lag vrij laag vandaag ben een beetje met de wireframe opgeschoten maar alle kleine beetjes tellen.</t>
  </si>
  <si>
    <t>Heb vandaag de wireframe afgerond en heb de toepasselijke kleuren en lettertypes hier op aangepast, morgen ga ik beginnen aan het daadwerkelijk proberen iets te maken.</t>
  </si>
  <si>
    <t>Begonnen met het het maken van de index maar tegen best wel wat dingen aan gelopen dus morgen vraag ik even aan ryan hoe en wat aangezien hij me remix ook aangeraden heeft.</t>
  </si>
  <si>
    <t>Ryan vandaag om advies gevraagd en wel een enorm stuk mee opgeschoten, kan veel gelijkenissen nu zien tussen vanilla js en react en dat helpt me al heleboel.</t>
  </si>
  <si>
    <t>Verder bezig geweest met de index pagina.</t>
  </si>
  <si>
    <t>Index pagina is afgerond en heb vandaag ook nog een begin kunnen maken aan de 'saves' pagina. Weet nog niet precies hoe ik die wil hebben maar heb wel een algemeen idee.</t>
  </si>
  <si>
    <t>Vandaag definitief het design van de saves pagina gemaakt. Morgen verder bezig met de functionaliteit ervan.</t>
  </si>
  <si>
    <t>ziek</t>
  </si>
  <si>
    <t>De tictactoe verder uitgewerkt.</t>
  </si>
  <si>
    <t>Verder geprobeert de salcon dev server draaiend te krijgen</t>
  </si>
  <si>
    <t>Nederlands examens dus niet aanwezig op kantoor, vanaf 13 uur thuis gewerkt.</t>
  </si>
  <si>
    <t>Niet aanwezig op kantoor ivm persoonlijke redenen, thuis gewerkt aan het verder functionerend krijgen van de color picker. Niet heel veel vooruitgang geboekt</t>
  </si>
  <si>
    <t>Verder bezig geweest met de functionaliteit van de saves pagina, niet heel veel mee opgeschoten denk dat ik binnenkort even nieuwe inspiratie op ga zoeken.</t>
  </si>
  <si>
    <t>Bezig geweest met zoeken van inspiratie voor de saves pagina maar ook gelijk voor de contact, saves pagina is gelukt, contact pagina echter niet.</t>
  </si>
  <si>
    <t xml:space="preserve">Projecten pagina ontworpen en Ryan gevraagd voor een eventuele suggesties als het gaat over  frameworks, Remix bleek hier best handig voor te zijn ook omdat ik mij focus op een groot deel U.I. </t>
  </si>
  <si>
    <t>Documentatie van Remix door genomen en besloot genomen om hiervan gebruik te gaan maken.</t>
  </si>
  <si>
    <t>Voelde me niet super fit dus niet heel veel kunnen doen, verder gegaan met de documentatie van Remix.</t>
  </si>
  <si>
    <t>Nogsteeds niet super fit, heb Ryan gevraagd of er ook een framework was dat bij Remix past zodat ik een database verbinding kan maken heeft me Prisma aangeraden dus hier ook nog een stukje van gelezen en geprobeert in mn project toe te voegen.</t>
  </si>
  <si>
    <t>Voelde me gelukkig weer beter, begonnen aan het programeren van mijn nieuwe portfolio als stage opdracht met remix en prisma.</t>
  </si>
  <si>
    <t>Zowel Remix als Prisma gebruikt om een verbinding tussen mijn pagina en mijn database te maken, nu nog niet heel veel functionaliteit maar wel de verbinding kunnen leggen.</t>
  </si>
  <si>
    <t>Gesprek gehad met beide Jorgen's erachter gekomen dat ik toch nog wel meer te doen heb als verwacht, heb na het gesprek in een word document gezet wat ik allemaal nog moet doen.</t>
  </si>
  <si>
    <t>Enorm eind gekomen met het nieuwe portfolio, heb nu de index, Saves, projecten en WIP af kunnen maken met nog kleine verbeter puntjes voor eventueel later.</t>
  </si>
  <si>
    <t>Verder gegaan met het schrijven van het stage verslag, heb de inleiding, beschrijving van het stage bedrijf en de parktijkcase de opdracht geschreven en ga maandag verder met het werken hieraan.</t>
  </si>
  <si>
    <t>Verder gewerkt aan het stage verslag en een klein stukje van de projecten pagina verder gemaakt.</t>
  </si>
  <si>
    <t>Wederom verder gewerkt aan het stage verlsag en een interview afgenomen met Jorgen over het stuk van de producten van het stagebedrijf.</t>
  </si>
  <si>
    <t>Verder gegaan met het maken van de about me pagina, echter niet heel ver kunnen komen door een behoorlijk late avond. Thuis verder gegaan en afgerond.</t>
  </si>
  <si>
    <t>Verder aan het werk geweest met het stageverslag na de afspraak hebben gemaakt in plaats van de 20 pagina regel te volgen dat ik 5000 woorden zou hebben.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</si>
</sst>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 mmmm\ yyyy;@"/>
    <numFmt numFmtId="165" formatCode="d/mmm/yy;@"/>
    <numFmt numFmtId="166" formatCode="h:mm;@"/>
    <numFmt numFmtId="167" formatCode="[h]:mm;@"/>
  </numFmts>
  <fonts count="3" x14ac:knownFonts="1">
    <font>
      <sz val="11"/>
      <color indexed="8"/>
      <name val="Calibri"/>
      <family val="2"/>
    </font>
    <font>
      <sz val="36"/>
      <color indexed="8"/>
      <name val="Calibri"/>
      <family val="2"/>
    </font>
    <font>
      <b/>
      <sz val="11"/>
      <color indexed="8"/>
      <name val="Calibri"/>
      <family val="2"/>
    </font>
  </fonts>
  <fills count="2">
    <fill>
      <patternFill patternType="none"/>
    </fill>
    <fill>
      <patternFill patternType="gray125"/>
    </fill>
  </fills>
  <borders count="23">
    <border>
      <left/>
      <right/>
      <top/>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
      <left/>
      <right/>
      <top style="thin">
        <color indexed="8"/>
      </top>
      <bottom/>
      <diagonal/>
    </border>
    <border>
      <left/>
      <right/>
      <top/>
      <bottom style="thin">
        <color indexed="8"/>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s>
  <cellStyleXfs count="1">
    <xf numFmtId="0" fontId="0" fillId="0" borderId="0"/>
  </cellStyleXfs>
  <cellXfs count="52">
    <xf numFmtId="0" fontId="0" fillId="0" borderId="0" xfId="0"/>
    <xf numFmtId="0" fontId="1" fillId="0" borderId="0" xfId="0" applyFont="1" applyAlignment="1">
      <alignment vertical="center"/>
    </xf>
    <xf numFmtId="0" fontId="2" fillId="0" borderId="0" xfId="0" applyFont="1"/>
    <xf numFmtId="0" fontId="0" fillId="0" borderId="0" xfId="0" applyProtection="1">
      <protection locked="0"/>
    </xf>
    <xf numFmtId="164" fontId="0" fillId="0" borderId="0" xfId="0" applyNumberFormat="1" applyProtection="1">
      <protection locked="0"/>
    </xf>
    <xf numFmtId="0" fontId="0" fillId="0" borderId="1" xfId="0" applyBorder="1"/>
    <xf numFmtId="0" fontId="0" fillId="0" borderId="2" xfId="0" applyBorder="1"/>
    <xf numFmtId="0" fontId="1" fillId="0" borderId="3" xfId="0" applyFont="1" applyBorder="1" applyAlignment="1">
      <alignment horizontal="right" vertical="center"/>
    </xf>
    <xf numFmtId="0" fontId="0" fillId="0" borderId="0" xfId="0" applyAlignment="1">
      <alignment horizontal="right" vertical="center"/>
    </xf>
    <xf numFmtId="0" fontId="0" fillId="0" borderId="4" xfId="0" applyBorder="1"/>
    <xf numFmtId="0" fontId="0" fillId="0" borderId="0" xfId="0" applyAlignment="1">
      <alignment horizontal="right"/>
    </xf>
    <xf numFmtId="165" fontId="0" fillId="0" borderId="0" xfId="0" applyNumberFormat="1" applyAlignment="1">
      <alignment horizont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5" fontId="0" fillId="0" borderId="0" xfId="0" applyNumberFormat="1"/>
    <xf numFmtId="0" fontId="0" fillId="0" borderId="13" xfId="0" applyBorder="1"/>
    <xf numFmtId="165" fontId="0" fillId="0" borderId="13" xfId="0" applyNumberFormat="1" applyBorder="1"/>
    <xf numFmtId="0" fontId="0" fillId="0" borderId="14" xfId="0" applyBorder="1"/>
    <xf numFmtId="165" fontId="0" fillId="0" borderId="15" xfId="0" applyNumberFormat="1" applyBorder="1"/>
    <xf numFmtId="0" fontId="0" fillId="0" borderId="15" xfId="0" applyBorder="1" applyAlignment="1">
      <alignment horizontal="right"/>
    </xf>
    <xf numFmtId="166" fontId="0" fillId="0" borderId="16" xfId="0" applyNumberFormat="1" applyBorder="1" applyProtection="1">
      <protection locked="0"/>
    </xf>
    <xf numFmtId="167" fontId="0" fillId="0" borderId="7" xfId="0" applyNumberFormat="1" applyBorder="1"/>
    <xf numFmtId="0" fontId="0" fillId="0" borderId="17" xfId="0" applyBorder="1"/>
    <xf numFmtId="0" fontId="0" fillId="0" borderId="18" xfId="0" applyBorder="1"/>
    <xf numFmtId="0" fontId="0" fillId="0" borderId="18" xfId="0" applyBorder="1" applyAlignment="1">
      <alignment horizontal="right"/>
    </xf>
    <xf numFmtId="165" fontId="0" fillId="0" borderId="18" xfId="0" applyNumberFormat="1" applyBorder="1" applyAlignment="1">
      <alignment horizontal="center"/>
    </xf>
    <xf numFmtId="0" fontId="0" fillId="0" borderId="19" xfId="0" applyBorder="1"/>
    <xf numFmtId="167" fontId="0" fillId="0" borderId="0" xfId="0" applyNumberFormat="1"/>
    <xf numFmtId="49" fontId="0" fillId="0" borderId="21" xfId="0" applyNumberFormat="1" applyBorder="1" applyAlignment="1" applyProtection="1">
      <alignment vertical="top" wrapText="1"/>
      <protection locked="0"/>
    </xf>
    <xf numFmtId="49" fontId="0" fillId="0" borderId="20" xfId="0" applyNumberFormat="1" applyBorder="1" applyAlignment="1" applyProtection="1">
      <alignment vertical="top" wrapText="1"/>
      <protection locked="0"/>
    </xf>
    <xf numFmtId="0" fontId="1" fillId="0" borderId="2" xfId="0" applyFont="1" applyBorder="1" applyAlignment="1">
      <alignment horizontal="right" vertical="center"/>
    </xf>
    <xf numFmtId="0" fontId="0" fillId="0" borderId="7" xfId="0" applyBorder="1"/>
    <xf numFmtId="0" fontId="0" fillId="0" borderId="9" xfId="0" applyBorder="1"/>
    <xf numFmtId="165" fontId="0" fillId="0" borderId="9" xfId="0" applyNumberFormat="1" applyBorder="1"/>
    <xf numFmtId="165" fontId="0" fillId="0" borderId="11" xfId="0" applyNumberFormat="1" applyBorder="1"/>
    <xf numFmtId="0" fontId="0" fillId="0" borderId="11" xfId="0" applyBorder="1"/>
    <xf numFmtId="0" fontId="0" fillId="0" borderId="0" xfId="0"/>
    <xf numFmtId="49" fontId="0" fillId="0" borderId="0" xfId="0" applyNumberFormat="1" applyAlignment="1" applyProtection="1">
      <alignment vertical="top" wrapText="1"/>
      <protection locked="0"/>
    </xf>
    <xf numFmtId="0" fontId="0" fillId="0" borderId="6" xfId="0" applyBorder="1"/>
    <xf numFmtId="0" fontId="0" fillId="0" borderId="8" xfId="0" applyBorder="1"/>
    <xf numFmtId="0" fontId="0" fillId="0" borderId="11" xfId="0" applyBorder="1" applyProtection="1">
      <protection locked="0"/>
    </xf>
    <xf numFmtId="0" fontId="0" fillId="0" borderId="10" xfId="0" applyBorder="1"/>
    <xf numFmtId="0" fontId="0" fillId="0" borderId="13" xfId="0" applyBorder="1" applyProtection="1">
      <protection locked="0"/>
    </xf>
    <xf numFmtId="49" fontId="0" fillId="0" borderId="22" xfId="0" applyNumberFormat="1" applyBorder="1" applyAlignment="1" applyProtection="1">
      <alignment vertical="top" wrapText="1"/>
      <protection locked="0"/>
    </xf>
    <xf numFmtId="0" fontId="0" fillId="0" borderId="13" xfId="0" applyBorder="1"/>
    <xf numFmtId="49" fontId="0" fillId="0" borderId="20" xfId="0" quotePrefix="1" applyNumberFormat="1" applyBorder="1" applyAlignment="1" applyProtection="1">
      <alignment vertical="top" wrapText="1"/>
      <protection locked="0"/>
    </xf>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335280</xdr:colOff>
      <xdr:row>0</xdr:row>
      <xdr:rowOff>182880</xdr:rowOff>
    </xdr:from>
    <xdr:to>
      <xdr:col>2</xdr:col>
      <xdr:colOff>899160</xdr:colOff>
      <xdr:row>0</xdr:row>
      <xdr:rowOff>1021080</xdr:rowOff>
    </xdr:to>
    <xdr:pic>
      <xdr:nvPicPr>
        <xdr:cNvPr id="1032" name="Afbeelding 1">
          <a:extLst>
            <a:ext uri="{FF2B5EF4-FFF2-40B4-BE49-F238E27FC236}">
              <a16:creationId xmlns:a16="http://schemas.microsoft.com/office/drawing/2014/main" id="{00000000-0008-0000-0000-000008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35280" y="182880"/>
          <a:ext cx="374142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2056" name="Afbeelding 1">
          <a:extLst>
            <a:ext uri="{FF2B5EF4-FFF2-40B4-BE49-F238E27FC236}">
              <a16:creationId xmlns:a16="http://schemas.microsoft.com/office/drawing/2014/main" id="{00000000-0008-0000-0100-0000080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3080" name="Afbeelding 1">
          <a:extLst>
            <a:ext uri="{FF2B5EF4-FFF2-40B4-BE49-F238E27FC236}">
              <a16:creationId xmlns:a16="http://schemas.microsoft.com/office/drawing/2014/main" id="{00000000-0008-0000-0200-000008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4104" name="Afbeelding 1">
          <a:extLst>
            <a:ext uri="{FF2B5EF4-FFF2-40B4-BE49-F238E27FC236}">
              <a16:creationId xmlns:a16="http://schemas.microsoft.com/office/drawing/2014/main" id="{00000000-0008-0000-0300-0000081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5128" name="Afbeelding 1">
          <a:extLst>
            <a:ext uri="{FF2B5EF4-FFF2-40B4-BE49-F238E27FC236}">
              <a16:creationId xmlns:a16="http://schemas.microsoft.com/office/drawing/2014/main" id="{00000000-0008-0000-0400-0000081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6152" name="Afbeelding 1">
          <a:extLst>
            <a:ext uri="{FF2B5EF4-FFF2-40B4-BE49-F238E27FC236}">
              <a16:creationId xmlns:a16="http://schemas.microsoft.com/office/drawing/2014/main" id="{00000000-0008-0000-0500-0000081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7176" name="Afbeelding 1">
          <a:extLst>
            <a:ext uri="{FF2B5EF4-FFF2-40B4-BE49-F238E27FC236}">
              <a16:creationId xmlns:a16="http://schemas.microsoft.com/office/drawing/2014/main" id="{00000000-0008-0000-0600-0000081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8200" name="Afbeelding 1">
          <a:extLst>
            <a:ext uri="{FF2B5EF4-FFF2-40B4-BE49-F238E27FC236}">
              <a16:creationId xmlns:a16="http://schemas.microsoft.com/office/drawing/2014/main" id="{00000000-0008-0000-0700-0000082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9224" name="Afbeelding 1">
          <a:extLst>
            <a:ext uri="{FF2B5EF4-FFF2-40B4-BE49-F238E27FC236}">
              <a16:creationId xmlns:a16="http://schemas.microsoft.com/office/drawing/2014/main" id="{00000000-0008-0000-0800-0000082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0248" name="Afbeelding 1">
          <a:extLst>
            <a:ext uri="{FF2B5EF4-FFF2-40B4-BE49-F238E27FC236}">
              <a16:creationId xmlns:a16="http://schemas.microsoft.com/office/drawing/2014/main" id="{00000000-0008-0000-0900-00000828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1272" name="Afbeelding 1">
          <a:extLst>
            <a:ext uri="{FF2B5EF4-FFF2-40B4-BE49-F238E27FC236}">
              <a16:creationId xmlns:a16="http://schemas.microsoft.com/office/drawing/2014/main" id="{00000000-0008-0000-0A00-0000082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2296" name="Afbeelding 1">
          <a:extLst>
            <a:ext uri="{FF2B5EF4-FFF2-40B4-BE49-F238E27FC236}">
              <a16:creationId xmlns:a16="http://schemas.microsoft.com/office/drawing/2014/main" id="{00000000-0008-0000-0B00-0000083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60960</xdr:colOff>
      <xdr:row>0</xdr:row>
      <xdr:rowOff>83820</xdr:rowOff>
    </xdr:from>
    <xdr:to>
      <xdr:col>3</xdr:col>
      <xdr:colOff>708660</xdr:colOff>
      <xdr:row>0</xdr:row>
      <xdr:rowOff>929640</xdr:rowOff>
    </xdr:to>
    <xdr:pic>
      <xdr:nvPicPr>
        <xdr:cNvPr id="13320" name="Afbeelding 1">
          <a:extLst>
            <a:ext uri="{FF2B5EF4-FFF2-40B4-BE49-F238E27FC236}">
              <a16:creationId xmlns:a16="http://schemas.microsoft.com/office/drawing/2014/main" id="{00000000-0008-0000-0C00-0000083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83820"/>
          <a:ext cx="3756660" cy="84582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D11"/>
  <sheetViews>
    <sheetView workbookViewId="0">
      <selection activeCell="B11" sqref="B11"/>
    </sheetView>
  </sheetViews>
  <sheetFormatPr defaultColWidth="9.1796875" defaultRowHeight="14.5" x14ac:dyDescent="0.35"/>
  <cols>
    <col min="1" max="1" width="20.7265625" customWidth="1"/>
    <col min="2" max="2" width="25.7265625" customWidth="1"/>
    <col min="3" max="3" width="20.7265625" customWidth="1"/>
    <col min="4" max="4" width="25.7265625" customWidth="1"/>
  </cols>
  <sheetData>
    <row r="1" spans="1:4" ht="89.25" customHeight="1" x14ac:dyDescent="0.35">
      <c r="D1" s="1" t="s">
        <v>0</v>
      </c>
    </row>
    <row r="2" spans="1:4" x14ac:dyDescent="0.35">
      <c r="A2" t="s">
        <v>1</v>
      </c>
      <c r="B2" s="2" t="s">
        <v>2</v>
      </c>
    </row>
    <row r="4" spans="1:4" x14ac:dyDescent="0.35">
      <c r="A4" t="s">
        <v>3</v>
      </c>
      <c r="B4" s="3" t="s">
        <v>35</v>
      </c>
      <c r="C4" t="s">
        <v>4</v>
      </c>
      <c r="D4" s="4">
        <v>45334</v>
      </c>
    </row>
    <row r="5" spans="1:4" x14ac:dyDescent="0.35">
      <c r="A5" t="s">
        <v>5</v>
      </c>
      <c r="B5" s="3" t="s">
        <v>32</v>
      </c>
      <c r="C5" t="s">
        <v>6</v>
      </c>
      <c r="D5" s="4">
        <v>45480</v>
      </c>
    </row>
    <row r="6" spans="1:4" x14ac:dyDescent="0.35">
      <c r="A6" t="s">
        <v>7</v>
      </c>
      <c r="B6" s="3" t="s">
        <v>33</v>
      </c>
    </row>
    <row r="7" spans="1:4" x14ac:dyDescent="0.35">
      <c r="A7" t="s">
        <v>8</v>
      </c>
      <c r="B7" s="3" t="s">
        <v>36</v>
      </c>
    </row>
    <row r="8" spans="1:4" x14ac:dyDescent="0.35">
      <c r="A8" t="s">
        <v>9</v>
      </c>
      <c r="B8" s="3" t="s">
        <v>37</v>
      </c>
    </row>
    <row r="9" spans="1:4" x14ac:dyDescent="0.35">
      <c r="A9" t="s">
        <v>10</v>
      </c>
      <c r="B9" s="3" t="s">
        <v>38</v>
      </c>
    </row>
    <row r="10" spans="1:4" x14ac:dyDescent="0.35">
      <c r="A10" t="s">
        <v>11</v>
      </c>
      <c r="B10" s="3" t="s">
        <v>32</v>
      </c>
    </row>
    <row r="11" spans="1:4" x14ac:dyDescent="0.35">
      <c r="A11" t="s">
        <v>12</v>
      </c>
      <c r="B11" s="3" t="s">
        <v>34</v>
      </c>
    </row>
  </sheetData>
  <sheetProtection sheet="1" selectLockedCells="1"/>
  <pageMargins left="0.7" right="0.7" top="0.75" bottom="0.75" header="0.51180555555555551" footer="0.51180555555555551"/>
  <pageSetup paperSize="9" firstPageNumber="0" orientation="portrait" horizontalDpi="300"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pageSetUpPr fitToPage="1"/>
  </sheetPr>
  <dimension ref="A1:L31"/>
  <sheetViews>
    <sheetView topLeftCell="A14" workbookViewId="0">
      <selection activeCell="A18" sqref="A18:D18"/>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90" customHeight="1" x14ac:dyDescent="0.35">
      <c r="A1" s="5"/>
      <c r="B1" s="6"/>
      <c r="C1" s="6"/>
      <c r="D1" s="6"/>
      <c r="E1" s="36" t="s">
        <v>13</v>
      </c>
      <c r="F1" s="36"/>
      <c r="G1" s="36"/>
      <c r="H1" s="7">
        <v>1</v>
      </c>
      <c r="I1" s="8"/>
      <c r="J1" s="8"/>
      <c r="K1" s="8"/>
      <c r="L1" s="8"/>
    </row>
    <row r="2" spans="1:12" x14ac:dyDescent="0.35">
      <c r="A2" s="9"/>
      <c r="C2" s="10" t="s">
        <v>14</v>
      </c>
      <c r="D2" s="10" t="s">
        <v>15</v>
      </c>
      <c r="E2" s="11">
        <f>B6</f>
        <v>45334</v>
      </c>
      <c r="F2" s="10" t="s">
        <v>16</v>
      </c>
      <c r="G2" s="11">
        <f>B7</f>
        <v>45480</v>
      </c>
      <c r="H2" s="12"/>
    </row>
    <row r="3" spans="1:12" x14ac:dyDescent="0.35">
      <c r="A3" s="13" t="s">
        <v>3</v>
      </c>
      <c r="B3" s="37" t="str">
        <f>IF(ISBLANK(Algemeen!B4),"",Algemeen!B4)</f>
        <v>Rick Ambergen</v>
      </c>
      <c r="C3" s="37"/>
      <c r="D3" s="37"/>
      <c r="E3" s="13" t="s">
        <v>8</v>
      </c>
      <c r="F3" s="37" t="str">
        <f>IF(ISBLANK(Algemeen!B7),"",Algemeen!B7)</f>
        <v>Provrex</v>
      </c>
      <c r="G3" s="37"/>
      <c r="H3" s="37"/>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45355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45334</v>
      </c>
      <c r="C11" s="25" t="s">
        <v>20</v>
      </c>
      <c r="D11" s="26">
        <v>0.33333333333333331</v>
      </c>
      <c r="E11" s="23" t="str">
        <f>IF(WEEKDAY(F11,1)=1,"Zondag",IF(WEEKDAY(F11,1)=2,"Maandag",IF(WEEKDAY(F11,1)=3,"Dinsdag",IF(WEEKDAY(F11,1)=4,"Woensdag",IF(WEEKDAY(F11,1)=5,"Donderdag",IF(WEEKDAY(F11,1)=6,"Vrijdag","Zaterdag"))))))</f>
        <v>Maandag</v>
      </c>
      <c r="F11" s="24">
        <f>B11+7</f>
        <v>45341</v>
      </c>
      <c r="G11" s="25" t="s">
        <v>20</v>
      </c>
      <c r="H11" s="26">
        <v>0.33333333333333331</v>
      </c>
    </row>
    <row r="12" spans="1:12" ht="99.75" customHeight="1" x14ac:dyDescent="0.35">
      <c r="A12" s="34" t="s">
        <v>39</v>
      </c>
      <c r="B12" s="34"/>
      <c r="C12" s="34"/>
      <c r="D12" s="34"/>
      <c r="E12" s="35" t="s">
        <v>45</v>
      </c>
      <c r="F12" s="35"/>
      <c r="G12" s="35"/>
      <c r="H12" s="35"/>
    </row>
    <row r="13" spans="1:12" x14ac:dyDescent="0.35">
      <c r="A13" s="23" t="str">
        <f>IF(WEEKDAY(B13,1)=1,"Zondag",IF(WEEKDAY(B13,1)=2,"Maandag",IF(WEEKDAY(B13,1)=3,"Dinsdag",IF(WEEKDAY(B13,1)=4,"Woensdag",IF(WEEKDAY(B13,1)=5,"Donderdag",IF(WEEKDAY(B13,1)=6,"Vrijdag","Zaterdag"))))))</f>
        <v>Dinsdag</v>
      </c>
      <c r="B13" s="24">
        <f>B11+1</f>
        <v>45335</v>
      </c>
      <c r="C13" s="25" t="s">
        <v>20</v>
      </c>
      <c r="D13" s="26">
        <v>0.33333333333333331</v>
      </c>
      <c r="E13" s="23" t="str">
        <f>IF(WEEKDAY(F13,1)=1,"Zondag",IF(WEEKDAY(F13,1)=2,"Maandag",IF(WEEKDAY(F13,1)=3,"Dinsdag",IF(WEEKDAY(F13,1)=4,"Woensdag",IF(WEEKDAY(F13,1)=5,"Donderdag",IF(WEEKDAY(F13,1)=6,"Vrijdag","Zaterdag"))))))</f>
        <v>Dinsdag</v>
      </c>
      <c r="F13" s="24">
        <f>F11+1</f>
        <v>45342</v>
      </c>
      <c r="G13" s="25" t="s">
        <v>20</v>
      </c>
      <c r="H13" s="26">
        <v>0.35416666666666669</v>
      </c>
    </row>
    <row r="14" spans="1:12" ht="99.75" customHeight="1" x14ac:dyDescent="0.35">
      <c r="A14" s="43" t="s">
        <v>40</v>
      </c>
      <c r="B14" s="43"/>
      <c r="C14" s="43"/>
      <c r="D14" s="43"/>
      <c r="E14" s="35" t="s">
        <v>43</v>
      </c>
      <c r="F14" s="35"/>
      <c r="G14" s="35"/>
      <c r="H14" s="35"/>
    </row>
    <row r="15" spans="1:12" x14ac:dyDescent="0.35">
      <c r="A15" s="23" t="str">
        <f>IF(WEEKDAY(B15,1)=1,"Zondag",IF(WEEKDAY(B15,1)=2,"Maandag",IF(WEEKDAY(B15,1)=3,"Dinsdag",IF(WEEKDAY(B15,1)=4,"Woensdag",IF(WEEKDAY(B15,1)=5,"Donderdag",IF(WEEKDAY(B15,1)=6,"Vrijdag","Zaterdag"))))))</f>
        <v>Woensdag</v>
      </c>
      <c r="B15" s="24">
        <f>B13+1</f>
        <v>45336</v>
      </c>
      <c r="C15" s="25" t="s">
        <v>20</v>
      </c>
      <c r="D15" s="26">
        <v>0.33333333333333331</v>
      </c>
      <c r="E15" s="23" t="str">
        <f>IF(WEEKDAY(F15,1)=1,"Zondag",IF(WEEKDAY(F15,1)=2,"Maandag",IF(WEEKDAY(F15,1)=3,"Dinsdag",IF(WEEKDAY(F15,1)=4,"Woensdag",IF(WEEKDAY(F15,1)=5,"Donderdag",IF(WEEKDAY(F15,1)=6,"Vrijdag","Zaterdag"))))))</f>
        <v>Woensdag</v>
      </c>
      <c r="F15" s="24">
        <f>F13+1</f>
        <v>45343</v>
      </c>
      <c r="G15" s="25" t="s">
        <v>20</v>
      </c>
      <c r="H15" s="26">
        <v>0.33333333333333331</v>
      </c>
    </row>
    <row r="16" spans="1:12" ht="99.75" customHeight="1" x14ac:dyDescent="0.35">
      <c r="A16" s="35" t="s">
        <v>41</v>
      </c>
      <c r="B16" s="35"/>
      <c r="C16" s="35"/>
      <c r="D16" s="35"/>
      <c r="E16" s="35" t="s">
        <v>46</v>
      </c>
      <c r="F16" s="35"/>
      <c r="G16" s="35"/>
      <c r="H16" s="35"/>
    </row>
    <row r="17" spans="1:8" x14ac:dyDescent="0.35">
      <c r="A17" s="23" t="str">
        <f>IF(WEEKDAY(B17,1)=1,"Zondag",IF(WEEKDAY(B17,1)=2,"Maandag",IF(WEEKDAY(B17,1)=3,"Dinsdag",IF(WEEKDAY(B17,1)=4,"Woensdag",IF(WEEKDAY(B17,1)=5,"Donderdag",IF(WEEKDAY(B17,1)=6,"Vrijdag","Zaterdag"))))))</f>
        <v>Donderdag</v>
      </c>
      <c r="B17" s="24">
        <f>B15+1</f>
        <v>45337</v>
      </c>
      <c r="C17" s="25" t="s">
        <v>20</v>
      </c>
      <c r="D17" s="26">
        <v>0.33333333333333331</v>
      </c>
      <c r="E17" s="23" t="str">
        <f>IF(WEEKDAY(F17,1)=1,"Zondag",IF(WEEKDAY(F17,1)=2,"Maandag",IF(WEEKDAY(F17,1)=3,"Dinsdag",IF(WEEKDAY(F17,1)=4,"Woensdag",IF(WEEKDAY(F17,1)=5,"Donderdag",IF(WEEKDAY(F17,1)=6,"Vrijdag","Zaterdag"))))))</f>
        <v>Donderdag</v>
      </c>
      <c r="F17" s="24">
        <f>F15+1</f>
        <v>45344</v>
      </c>
      <c r="G17" s="25" t="s">
        <v>20</v>
      </c>
      <c r="H17" s="26">
        <v>0.33333333333333331</v>
      </c>
    </row>
    <row r="18" spans="1:8" ht="99.75" customHeight="1" x14ac:dyDescent="0.35">
      <c r="A18" s="35" t="s">
        <v>122</v>
      </c>
      <c r="B18" s="35"/>
      <c r="C18" s="35"/>
      <c r="D18" s="35"/>
      <c r="E18" s="35" t="s">
        <v>47</v>
      </c>
      <c r="F18" s="35"/>
      <c r="G18" s="35"/>
      <c r="H18" s="35"/>
    </row>
    <row r="19" spans="1:8" x14ac:dyDescent="0.35">
      <c r="A19" s="23" t="str">
        <f>IF(WEEKDAY(B19,1)=1,"Zondag",IF(WEEKDAY(B19,1)=2,"Maandag",IF(WEEKDAY(B19,1)=3,"Dinsdag",IF(WEEKDAY(B19,1)=4,"Woensdag",IF(WEEKDAY(B19,1)=5,"Donderdag",IF(WEEKDAY(B19,1)=6,"Vrijdag","Zaterdag"))))))</f>
        <v>Vrijdag</v>
      </c>
      <c r="B19" s="24">
        <f>B17+1</f>
        <v>45338</v>
      </c>
      <c r="C19" s="25" t="s">
        <v>20</v>
      </c>
      <c r="D19" s="26">
        <v>0.33333333333333331</v>
      </c>
      <c r="E19" s="23" t="str">
        <f>IF(WEEKDAY(F19,1)=1,"Zondag",IF(WEEKDAY(F19,1)=2,"Maandag",IF(WEEKDAY(F19,1)=3,"Dinsdag",IF(WEEKDAY(F19,1)=4,"Woensdag",IF(WEEKDAY(F19,1)=5,"Donderdag",IF(WEEKDAY(F19,1)=6,"Vrijdag","Zaterdag"))))))</f>
        <v>Vrijdag</v>
      </c>
      <c r="F19" s="24">
        <f>F17+1</f>
        <v>45345</v>
      </c>
      <c r="G19" s="25" t="s">
        <v>20</v>
      </c>
      <c r="H19" s="26">
        <v>0.33333333333333331</v>
      </c>
    </row>
    <row r="20" spans="1:8" ht="99.75" customHeight="1" x14ac:dyDescent="0.35">
      <c r="A20" s="35" t="s">
        <v>44</v>
      </c>
      <c r="B20" s="35"/>
      <c r="C20" s="35"/>
      <c r="D20" s="35"/>
      <c r="E20" s="35" t="s">
        <v>48</v>
      </c>
      <c r="F20" s="35"/>
      <c r="G20" s="35"/>
      <c r="H20" s="35"/>
    </row>
    <row r="21" spans="1:8" x14ac:dyDescent="0.35">
      <c r="A21" s="44" t="s">
        <v>21</v>
      </c>
      <c r="B21" s="44"/>
      <c r="C21" s="44"/>
      <c r="D21" s="27">
        <f>D11+D13+D15+D17+D19+H11+H13+H15+H17+H19</f>
        <v>3.354166666666667</v>
      </c>
      <c r="E21" s="44" t="s">
        <v>22</v>
      </c>
      <c r="F21" s="44"/>
      <c r="G21" s="44"/>
      <c r="H21" s="27">
        <f>D21</f>
        <v>3.354166666666667</v>
      </c>
    </row>
    <row r="22" spans="1:8" x14ac:dyDescent="0.35">
      <c r="A22" s="45" t="s">
        <v>23</v>
      </c>
      <c r="B22" s="45"/>
      <c r="C22" s="45"/>
      <c r="D22" s="16">
        <f>IF(D11&gt;0,1,0)+IF(D13&gt;0,1,0)+IF(D15&gt;0,1,0)+IF(D17&gt;0,1,0)+IF(D19&gt;0,1,0)+IF(H11&gt;0,1,0)+IF(H13&gt;0,1,0)+IF(H15&gt;0,1,0)+IF(H17&gt;0,1,0)+IF(H19&gt;0,1,0)</f>
        <v>10</v>
      </c>
      <c r="E22" s="45" t="s">
        <v>24</v>
      </c>
      <c r="F22" s="45"/>
      <c r="G22" s="45"/>
      <c r="H22" s="16">
        <f>D22</f>
        <v>10</v>
      </c>
    </row>
    <row r="23" spans="1:8"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f>
        <v>0</v>
      </c>
    </row>
    <row r="24" spans="1:8"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f>
        <v>0</v>
      </c>
    </row>
    <row r="25" spans="1:8" x14ac:dyDescent="0.35">
      <c r="A25" s="13"/>
      <c r="B25" s="19"/>
      <c r="C25" s="19"/>
      <c r="D25" s="19"/>
      <c r="E25" s="19"/>
      <c r="F25" s="19"/>
      <c r="G25" s="19"/>
      <c r="H25" s="14"/>
    </row>
    <row r="26" spans="1:8" x14ac:dyDescent="0.35">
      <c r="A26" s="15"/>
      <c r="H26" s="16"/>
    </row>
    <row r="27" spans="1:8" x14ac:dyDescent="0.35">
      <c r="A27" s="15" t="s">
        <v>29</v>
      </c>
      <c r="B27" s="48"/>
      <c r="C27" s="48"/>
      <c r="D27" s="48"/>
      <c r="E27" t="s">
        <v>11</v>
      </c>
      <c r="F27" s="46"/>
      <c r="G27" s="46"/>
      <c r="H27" s="46"/>
    </row>
    <row r="28" spans="1:8" x14ac:dyDescent="0.35">
      <c r="A28" s="15"/>
      <c r="H28" s="16"/>
    </row>
    <row r="29" spans="1:8" x14ac:dyDescent="0.35">
      <c r="A29" s="15"/>
      <c r="H29" s="16"/>
    </row>
    <row r="30" spans="1:8" x14ac:dyDescent="0.35">
      <c r="A30" s="15" t="s">
        <v>30</v>
      </c>
      <c r="B30" s="21"/>
      <c r="C30" s="21"/>
      <c r="D30" s="21"/>
      <c r="E30" t="s">
        <v>31</v>
      </c>
      <c r="F30" s="46"/>
      <c r="G30" s="46"/>
      <c r="H30" s="46"/>
    </row>
    <row r="31" spans="1:8" x14ac:dyDescent="0.35">
      <c r="A31" s="17"/>
      <c r="B31" s="21"/>
      <c r="C31" s="21"/>
      <c r="D31" s="21"/>
      <c r="E31" s="21"/>
      <c r="F31" s="21"/>
      <c r="G31" s="21"/>
      <c r="H31" s="18"/>
    </row>
  </sheetData>
  <sheetProtection sheet="1" selectLockedCells="1"/>
  <mergeCells count="33">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pageSetUpPr fitToPage="1"/>
  </sheetPr>
  <dimension ref="A1:L31"/>
  <sheetViews>
    <sheetView topLeftCell="A14" workbookViewId="0">
      <selection activeCell="E12" sqref="E12:H12"/>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2</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45369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45348</v>
      </c>
      <c r="C11" s="25" t="s">
        <v>20</v>
      </c>
      <c r="D11" s="26">
        <v>0.33333333333333331</v>
      </c>
      <c r="E11" s="23" t="str">
        <f>IF(WEEKDAY(F11,1)=1,"Zondag",IF(WEEKDAY(F11,1)=2,"Maandag",IF(WEEKDAY(F11,1)=3,"Dinsdag",IF(WEEKDAY(F11,1)=4,"Woensdag",IF(WEEKDAY(F11,1)=5,"Donderdag",IF(WEEKDAY(F11,1)=6,"Vrijdag","Zaterdag"))))))</f>
        <v>Maandag</v>
      </c>
      <c r="F11" s="24">
        <f>B11+7</f>
        <v>45355</v>
      </c>
      <c r="G11" s="25" t="s">
        <v>20</v>
      </c>
      <c r="H11" s="26">
        <v>0.33333333333333331</v>
      </c>
    </row>
    <row r="12" spans="1:12" ht="99.75" customHeight="1" x14ac:dyDescent="0.35">
      <c r="A12" s="34" t="s">
        <v>49</v>
      </c>
      <c r="B12" s="34"/>
      <c r="C12" s="34"/>
      <c r="D12" s="34"/>
      <c r="E12" s="35" t="s">
        <v>54</v>
      </c>
      <c r="F12" s="35"/>
      <c r="G12" s="35"/>
      <c r="H12" s="35"/>
    </row>
    <row r="13" spans="1:12" x14ac:dyDescent="0.35">
      <c r="A13" s="23" t="str">
        <f>IF(WEEKDAY(B13,1)=1,"Zondag",IF(WEEKDAY(B13,1)=2,"Maandag",IF(WEEKDAY(B13,1)=3,"Dinsdag",IF(WEEKDAY(B13,1)=4,"Woensdag",IF(WEEKDAY(B13,1)=5,"Donderdag",IF(WEEKDAY(B13,1)=6,"Vrijdag","Zaterdag"))))))</f>
        <v>Dinsdag</v>
      </c>
      <c r="B13" s="24">
        <f>B11+1</f>
        <v>45349</v>
      </c>
      <c r="C13" s="25" t="s">
        <v>20</v>
      </c>
      <c r="D13" s="26">
        <v>0.33333333333333331</v>
      </c>
      <c r="E13" s="23" t="str">
        <f>IF(WEEKDAY(F13,1)=1,"Zondag",IF(WEEKDAY(F13,1)=2,"Maandag",IF(WEEKDAY(F13,1)=3,"Dinsdag",IF(WEEKDAY(F13,1)=4,"Woensdag",IF(WEEKDAY(F13,1)=5,"Donderdag",IF(WEEKDAY(F13,1)=6,"Vrijdag","Zaterdag"))))))</f>
        <v>Dinsdag</v>
      </c>
      <c r="F13" s="24">
        <f>F11+1</f>
        <v>45356</v>
      </c>
      <c r="G13" s="25" t="s">
        <v>20</v>
      </c>
      <c r="H13" s="26">
        <v>0.33333333333333331</v>
      </c>
    </row>
    <row r="14" spans="1:12" ht="99.75" customHeight="1" x14ac:dyDescent="0.35">
      <c r="A14" s="35" t="s">
        <v>50</v>
      </c>
      <c r="B14" s="35"/>
      <c r="C14" s="35"/>
      <c r="D14" s="35"/>
      <c r="E14" s="35" t="s">
        <v>55</v>
      </c>
      <c r="F14" s="35"/>
      <c r="G14" s="35"/>
      <c r="H14" s="35"/>
    </row>
    <row r="15" spans="1:12" x14ac:dyDescent="0.35">
      <c r="A15" s="23" t="str">
        <f>IF(WEEKDAY(B15,1)=1,"Zondag",IF(WEEKDAY(B15,1)=2,"Maandag",IF(WEEKDAY(B15,1)=3,"Dinsdag",IF(WEEKDAY(B15,1)=4,"Woensdag",IF(WEEKDAY(B15,1)=5,"Donderdag",IF(WEEKDAY(B15,1)=6,"Vrijdag","Zaterdag"))))))</f>
        <v>Woensdag</v>
      </c>
      <c r="B15" s="24">
        <f>B13+1</f>
        <v>45350</v>
      </c>
      <c r="C15" s="25" t="s">
        <v>20</v>
      </c>
      <c r="D15" s="26">
        <v>0.33333333333333331</v>
      </c>
      <c r="E15" s="23" t="str">
        <f>IF(WEEKDAY(F15,1)=1,"Zondag",IF(WEEKDAY(F15,1)=2,"Maandag",IF(WEEKDAY(F15,1)=3,"Dinsdag",IF(WEEKDAY(F15,1)=4,"Woensdag",IF(WEEKDAY(F15,1)=5,"Donderdag",IF(WEEKDAY(F15,1)=6,"Vrijdag","Zaterdag"))))))</f>
        <v>Woensdag</v>
      </c>
      <c r="F15" s="24">
        <f>F13+1</f>
        <v>45357</v>
      </c>
      <c r="G15" s="25" t="s">
        <v>20</v>
      </c>
      <c r="H15" s="26">
        <v>0.33333333333333331</v>
      </c>
    </row>
    <row r="16" spans="1:12" ht="99.75" customHeight="1" x14ac:dyDescent="0.35">
      <c r="A16" s="35" t="s">
        <v>51</v>
      </c>
      <c r="B16" s="35"/>
      <c r="C16" s="35"/>
      <c r="D16" s="35"/>
      <c r="E16" s="35" t="s">
        <v>56</v>
      </c>
      <c r="F16" s="35"/>
      <c r="G16" s="35"/>
      <c r="H16" s="35"/>
    </row>
    <row r="17" spans="1:8" x14ac:dyDescent="0.35">
      <c r="A17" s="23" t="str">
        <f>IF(WEEKDAY(B17,1)=1,"Zondag",IF(WEEKDAY(B17,1)=2,"Maandag",IF(WEEKDAY(B17,1)=3,"Dinsdag",IF(WEEKDAY(B17,1)=4,"Woensdag",IF(WEEKDAY(B17,1)=5,"Donderdag",IF(WEEKDAY(B17,1)=6,"Vrijdag","Zaterdag"))))))</f>
        <v>Donderdag</v>
      </c>
      <c r="B17" s="24">
        <f>B15+1</f>
        <v>45351</v>
      </c>
      <c r="C17" s="25" t="s">
        <v>20</v>
      </c>
      <c r="D17" s="26">
        <v>0.33333333333333331</v>
      </c>
      <c r="E17" s="23" t="str">
        <f>IF(WEEKDAY(F17,1)=1,"Zondag",IF(WEEKDAY(F17,1)=2,"Maandag",IF(WEEKDAY(F17,1)=3,"Dinsdag",IF(WEEKDAY(F17,1)=4,"Woensdag",IF(WEEKDAY(F17,1)=5,"Donderdag",IF(WEEKDAY(F17,1)=6,"Vrijdag","Zaterdag"))))))</f>
        <v>Donderdag</v>
      </c>
      <c r="F17" s="24">
        <f>F15+1</f>
        <v>45358</v>
      </c>
      <c r="G17" s="25" t="s">
        <v>20</v>
      </c>
      <c r="H17" s="26">
        <v>0.25</v>
      </c>
    </row>
    <row r="18" spans="1:8" ht="99.75" customHeight="1" x14ac:dyDescent="0.35">
      <c r="A18" s="35" t="s">
        <v>52</v>
      </c>
      <c r="B18" s="35"/>
      <c r="C18" s="35"/>
      <c r="D18" s="35"/>
      <c r="E18" s="35" t="s">
        <v>57</v>
      </c>
      <c r="F18" s="35"/>
      <c r="G18" s="35"/>
      <c r="H18" s="35"/>
    </row>
    <row r="19" spans="1:8" x14ac:dyDescent="0.35">
      <c r="A19" s="23" t="str">
        <f>IF(WEEKDAY(B19,1)=1,"Zondag",IF(WEEKDAY(B19,1)=2,"Maandag",IF(WEEKDAY(B19,1)=3,"Dinsdag",IF(WEEKDAY(B19,1)=4,"Woensdag",IF(WEEKDAY(B19,1)=5,"Donderdag",IF(WEEKDAY(B19,1)=6,"Vrijdag","Zaterdag"))))))</f>
        <v>Vrijdag</v>
      </c>
      <c r="B19" s="24">
        <f>B17+1</f>
        <v>45352</v>
      </c>
      <c r="C19" s="25" t="s">
        <v>20</v>
      </c>
      <c r="D19" s="26">
        <v>0.33333333333333331</v>
      </c>
      <c r="E19" s="23" t="str">
        <f>IF(WEEKDAY(F19,1)=1,"Zondag",IF(WEEKDAY(F19,1)=2,"Maandag",IF(WEEKDAY(F19,1)=3,"Dinsdag",IF(WEEKDAY(F19,1)=4,"Woensdag",IF(WEEKDAY(F19,1)=5,"Donderdag",IF(WEEKDAY(F19,1)=6,"Vrijdag","Zaterdag"))))))</f>
        <v>Vrijdag</v>
      </c>
      <c r="F19" s="24">
        <f>F17+1</f>
        <v>45359</v>
      </c>
      <c r="G19" s="25" t="s">
        <v>20</v>
      </c>
      <c r="H19" s="26">
        <v>0.33333333333333331</v>
      </c>
    </row>
    <row r="20" spans="1:8" ht="99.75" customHeight="1" x14ac:dyDescent="0.35">
      <c r="A20" s="35" t="s">
        <v>53</v>
      </c>
      <c r="B20" s="35"/>
      <c r="C20" s="35"/>
      <c r="D20" s="35"/>
      <c r="E20" s="49" t="s">
        <v>58</v>
      </c>
      <c r="F20" s="49"/>
      <c r="G20" s="49"/>
      <c r="H20" s="49"/>
    </row>
    <row r="21" spans="1:8" x14ac:dyDescent="0.35">
      <c r="A21" s="44" t="s">
        <v>21</v>
      </c>
      <c r="B21" s="44"/>
      <c r="C21" s="44"/>
      <c r="D21" s="27">
        <f>D11+D13+D15+D17+D19+H11+H13+H15+H17+H19</f>
        <v>3.25</v>
      </c>
      <c r="E21" s="44" t="s">
        <v>22</v>
      </c>
      <c r="F21" s="44"/>
      <c r="G21" s="44"/>
      <c r="H21" s="27">
        <f>D21+'Werkstaat 1'!H21</f>
        <v>6.604166666666667</v>
      </c>
    </row>
    <row r="22" spans="1:8" x14ac:dyDescent="0.35">
      <c r="A22" s="45" t="s">
        <v>23</v>
      </c>
      <c r="B22" s="45"/>
      <c r="C22" s="45"/>
      <c r="D22" s="16">
        <f>IF(D11&gt;0,1,0)+IF(D13&gt;0,1,0)+IF(D15&gt;0,1,0)+IF(D17&gt;0,1,0)+IF(D19&gt;0,1,0)+IF(H11&gt;0,1,0)+IF(H13&gt;0,1,0)+IF(H15&gt;0,1,0)+IF(H17&gt;0,1,0)+IF(H19&gt;0,1,0)</f>
        <v>10</v>
      </c>
      <c r="E22" s="45" t="s">
        <v>24</v>
      </c>
      <c r="F22" s="45"/>
      <c r="G22" s="45"/>
      <c r="H22" s="16">
        <f>D22+'Werkstaat 1'!H22</f>
        <v>20</v>
      </c>
    </row>
    <row r="23" spans="1:8"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1'!H23</f>
        <v>0</v>
      </c>
    </row>
    <row r="24" spans="1:8"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1'!H24</f>
        <v>0</v>
      </c>
    </row>
    <row r="25" spans="1:8" x14ac:dyDescent="0.35">
      <c r="A25" s="13"/>
      <c r="B25" s="19"/>
      <c r="C25" s="19"/>
      <c r="D25" s="19"/>
      <c r="H25" s="16"/>
    </row>
    <row r="26" spans="1:8" x14ac:dyDescent="0.35">
      <c r="A26" s="15"/>
      <c r="H26" s="16"/>
    </row>
    <row r="27" spans="1:8" x14ac:dyDescent="0.35">
      <c r="A27" s="15" t="s">
        <v>29</v>
      </c>
      <c r="B27" s="48"/>
      <c r="C27" s="48"/>
      <c r="D27" s="48"/>
      <c r="E27" t="s">
        <v>11</v>
      </c>
      <c r="F27" s="46"/>
      <c r="G27" s="46"/>
      <c r="H27" s="46"/>
    </row>
    <row r="28" spans="1:8" x14ac:dyDescent="0.35">
      <c r="A28" s="45" t="s">
        <v>30</v>
      </c>
      <c r="B28" s="50"/>
      <c r="C28" s="50"/>
      <c r="D28" s="50"/>
      <c r="H28" s="16"/>
    </row>
    <row r="29" spans="1:8" x14ac:dyDescent="0.35">
      <c r="A29" s="45"/>
      <c r="B29" s="50"/>
      <c r="C29" s="50"/>
      <c r="D29" s="50"/>
      <c r="H29" s="16"/>
    </row>
    <row r="30" spans="1:8" x14ac:dyDescent="0.35">
      <c r="A30" s="45"/>
      <c r="B30" s="50"/>
      <c r="C30" s="50"/>
      <c r="D30" s="50"/>
      <c r="E30" t="s">
        <v>31</v>
      </c>
      <c r="F30" s="46"/>
      <c r="G30" s="46"/>
      <c r="H30" s="46"/>
    </row>
    <row r="31" spans="1:8" x14ac:dyDescent="0.35">
      <c r="A31" s="17"/>
      <c r="B31" s="21"/>
      <c r="C31" s="21"/>
      <c r="D31" s="21"/>
      <c r="E31" s="21"/>
      <c r="F31" s="21"/>
      <c r="G31" s="21"/>
      <c r="H31" s="18"/>
    </row>
  </sheetData>
  <sheetProtection sheet="1" objects="1" scenarios="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pageSetUpPr fitToPage="1"/>
  </sheetPr>
  <dimension ref="A1:L31"/>
  <sheetViews>
    <sheetView topLeftCell="A14" workbookViewId="0">
      <selection activeCell="E16" sqref="E16:H16"/>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3</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45383</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45362</v>
      </c>
      <c r="C11" s="25" t="s">
        <v>20</v>
      </c>
      <c r="D11" s="26">
        <v>0.33333333333333331</v>
      </c>
      <c r="E11" s="23" t="str">
        <f>IF(WEEKDAY(F11,1)=1,"Zondag",IF(WEEKDAY(F11,1)=2,"Maandag",IF(WEEKDAY(F11,1)=3,"Dinsdag",IF(WEEKDAY(F11,1)=4,"Woensdag",IF(WEEKDAY(F11,1)=5,"Donderdag",IF(WEEKDAY(F11,1)=6,"Vrijdag","Zaterdag"))))))</f>
        <v>Maandag</v>
      </c>
      <c r="F11" s="24">
        <f>B11+7</f>
        <v>45369</v>
      </c>
      <c r="G11" s="25" t="s">
        <v>20</v>
      </c>
      <c r="H11" s="26">
        <v>0.33333333333333331</v>
      </c>
    </row>
    <row r="12" spans="1:12" ht="99.75" customHeight="1" x14ac:dyDescent="0.35">
      <c r="A12" s="34" t="s">
        <v>59</v>
      </c>
      <c r="B12" s="34"/>
      <c r="C12" s="34"/>
      <c r="D12" s="34"/>
      <c r="E12" s="35" t="s">
        <v>65</v>
      </c>
      <c r="F12" s="35"/>
      <c r="G12" s="35"/>
      <c r="H12" s="35"/>
    </row>
    <row r="13" spans="1:12" x14ac:dyDescent="0.35">
      <c r="A13" s="23" t="str">
        <f>IF(WEEKDAY(B13,1)=1,"Zondag",IF(WEEKDAY(B13,1)=2,"Maandag",IF(WEEKDAY(B13,1)=3,"Dinsdag",IF(WEEKDAY(B13,1)=4,"Woensdag",IF(WEEKDAY(B13,1)=5,"Donderdag",IF(WEEKDAY(B13,1)=6,"Vrijdag","Zaterdag"))))))</f>
        <v>Dinsdag</v>
      </c>
      <c r="B13" s="24">
        <f>B11+1</f>
        <v>45363</v>
      </c>
      <c r="C13" s="25" t="s">
        <v>20</v>
      </c>
      <c r="D13" s="26">
        <v>0.33333333333333331</v>
      </c>
      <c r="E13" s="23" t="str">
        <f>IF(WEEKDAY(F13,1)=1,"Zondag",IF(WEEKDAY(F13,1)=2,"Maandag",IF(WEEKDAY(F13,1)=3,"Dinsdag",IF(WEEKDAY(F13,1)=4,"Woensdag",IF(WEEKDAY(F13,1)=5,"Donderdag",IF(WEEKDAY(F13,1)=6,"Vrijdag","Zaterdag"))))))</f>
        <v>Dinsdag</v>
      </c>
      <c r="F13" s="24">
        <f>F11+1</f>
        <v>45370</v>
      </c>
      <c r="G13" s="25" t="s">
        <v>20</v>
      </c>
      <c r="H13" s="26">
        <v>0.33333333333333331</v>
      </c>
    </row>
    <row r="14" spans="1:12" ht="99.75" customHeight="1" x14ac:dyDescent="0.35">
      <c r="A14" s="35" t="s">
        <v>60</v>
      </c>
      <c r="B14" s="35"/>
      <c r="C14" s="35"/>
      <c r="D14" s="35"/>
      <c r="E14" s="35" t="s">
        <v>66</v>
      </c>
      <c r="F14" s="35"/>
      <c r="G14" s="35"/>
      <c r="H14" s="35"/>
    </row>
    <row r="15" spans="1:12" x14ac:dyDescent="0.35">
      <c r="A15" s="23" t="str">
        <f>IF(WEEKDAY(B15,1)=1,"Zondag",IF(WEEKDAY(B15,1)=2,"Maandag",IF(WEEKDAY(B15,1)=3,"Dinsdag",IF(WEEKDAY(B15,1)=4,"Woensdag",IF(WEEKDAY(B15,1)=5,"Donderdag",IF(WEEKDAY(B15,1)=6,"Vrijdag","Zaterdag"))))))</f>
        <v>Woensdag</v>
      </c>
      <c r="B15" s="24">
        <f>B13+1</f>
        <v>45364</v>
      </c>
      <c r="C15" s="25" t="s">
        <v>20</v>
      </c>
      <c r="D15" s="26">
        <v>0.33333333333333331</v>
      </c>
      <c r="E15" s="23" t="str">
        <f>IF(WEEKDAY(F15,1)=1,"Zondag",IF(WEEKDAY(F15,1)=2,"Maandag",IF(WEEKDAY(F15,1)=3,"Dinsdag",IF(WEEKDAY(F15,1)=4,"Woensdag",IF(WEEKDAY(F15,1)=5,"Donderdag",IF(WEEKDAY(F15,1)=6,"Vrijdag","Zaterdag"))))))</f>
        <v>Woensdag</v>
      </c>
      <c r="F15" s="24">
        <f>F13+1</f>
        <v>45371</v>
      </c>
      <c r="G15" s="25" t="s">
        <v>20</v>
      </c>
      <c r="H15" s="26">
        <v>0.33333333333333331</v>
      </c>
    </row>
    <row r="16" spans="1:12" ht="99.75" customHeight="1" x14ac:dyDescent="0.35">
      <c r="A16" s="35" t="s">
        <v>62</v>
      </c>
      <c r="B16" s="35"/>
      <c r="C16" s="35"/>
      <c r="D16" s="35"/>
      <c r="E16" s="35" t="s">
        <v>123</v>
      </c>
      <c r="F16" s="35"/>
      <c r="G16" s="35"/>
      <c r="H16" s="35"/>
    </row>
    <row r="17" spans="1:10" x14ac:dyDescent="0.35">
      <c r="A17" s="23" t="str">
        <f>IF(WEEKDAY(B17,1)=1,"Zondag",IF(WEEKDAY(B17,1)=2,"Maandag",IF(WEEKDAY(B17,1)=3,"Dinsdag",IF(WEEKDAY(B17,1)=4,"Woensdag",IF(WEEKDAY(B17,1)=5,"Donderdag",IF(WEEKDAY(B17,1)=6,"Vrijdag","Zaterdag"))))))</f>
        <v>Donderdag</v>
      </c>
      <c r="B17" s="24">
        <f>B15+1</f>
        <v>45365</v>
      </c>
      <c r="C17" s="25" t="s">
        <v>20</v>
      </c>
      <c r="D17" s="26">
        <v>0.33333333333333331</v>
      </c>
      <c r="E17" s="23" t="str">
        <f>IF(WEEKDAY(F17,1)=1,"Zondag",IF(WEEKDAY(F17,1)=2,"Maandag",IF(WEEKDAY(F17,1)=3,"Dinsdag",IF(WEEKDAY(F17,1)=4,"Woensdag",IF(WEEKDAY(F17,1)=5,"Donderdag",IF(WEEKDAY(F17,1)=6,"Vrijdag","Zaterdag"))))))</f>
        <v>Donderdag</v>
      </c>
      <c r="F17" s="24">
        <f>F15+1</f>
        <v>45372</v>
      </c>
      <c r="G17" s="25" t="s">
        <v>20</v>
      </c>
      <c r="H17" s="26">
        <v>0</v>
      </c>
    </row>
    <row r="18" spans="1:10" ht="99.75" customHeight="1" x14ac:dyDescent="0.35">
      <c r="A18" s="35" t="s">
        <v>63</v>
      </c>
      <c r="B18" s="35"/>
      <c r="C18" s="35"/>
      <c r="D18" s="35"/>
      <c r="E18" s="35" t="s">
        <v>61</v>
      </c>
      <c r="F18" s="35"/>
      <c r="G18" s="35"/>
      <c r="H18" s="35"/>
    </row>
    <row r="19" spans="1:10" x14ac:dyDescent="0.35">
      <c r="A19" s="23" t="str">
        <f>IF(WEEKDAY(B19,1)=1,"Zondag",IF(WEEKDAY(B19,1)=2,"Maandag",IF(WEEKDAY(B19,1)=3,"Dinsdag",IF(WEEKDAY(B19,1)=4,"Woensdag",IF(WEEKDAY(B19,1)=5,"Donderdag",IF(WEEKDAY(B19,1)=6,"Vrijdag","Zaterdag"))))))</f>
        <v>Vrijdag</v>
      </c>
      <c r="B19" s="24">
        <f>B17+1</f>
        <v>45366</v>
      </c>
      <c r="C19" s="25" t="s">
        <v>20</v>
      </c>
      <c r="D19" s="26">
        <v>0.33333333333333331</v>
      </c>
      <c r="E19" s="23" t="str">
        <f>IF(WEEKDAY(F19,1)=1,"Zondag",IF(WEEKDAY(F19,1)=2,"Maandag",IF(WEEKDAY(F19,1)=3,"Dinsdag",IF(WEEKDAY(F19,1)=4,"Woensdag",IF(WEEKDAY(F19,1)=5,"Donderdag",IF(WEEKDAY(F19,1)=6,"Vrijdag","Zaterdag"))))))</f>
        <v>Vrijdag</v>
      </c>
      <c r="F19" s="24">
        <f>F17+1</f>
        <v>45373</v>
      </c>
      <c r="G19" s="25" t="s">
        <v>20</v>
      </c>
      <c r="H19" s="26">
        <v>0</v>
      </c>
    </row>
    <row r="20" spans="1:10" ht="99.75" customHeight="1" x14ac:dyDescent="0.35">
      <c r="A20" s="35" t="s">
        <v>64</v>
      </c>
      <c r="B20" s="35"/>
      <c r="C20" s="35"/>
      <c r="D20" s="35"/>
      <c r="E20" s="35" t="s">
        <v>61</v>
      </c>
      <c r="F20" s="35"/>
      <c r="G20" s="35"/>
      <c r="H20" s="35"/>
    </row>
    <row r="21" spans="1:10" x14ac:dyDescent="0.35">
      <c r="A21" s="44" t="s">
        <v>21</v>
      </c>
      <c r="B21" s="44"/>
      <c r="C21" s="44"/>
      <c r="D21" s="27">
        <f>D11+D13+D15+D17+D19+H11+H13+H15+H17+H19</f>
        <v>2.6666666666666665</v>
      </c>
      <c r="E21" s="44" t="s">
        <v>22</v>
      </c>
      <c r="F21" s="44"/>
      <c r="G21" s="44"/>
      <c r="H21" s="27">
        <f>D21+'Werkstaat 2'!H21</f>
        <v>9.2708333333333339</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2'!H22</f>
        <v>28</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2'!H23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2'!H24</f>
        <v>0</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pageSetUpPr fitToPage="1"/>
  </sheetPr>
  <dimension ref="A1:L31"/>
  <sheetViews>
    <sheetView topLeftCell="A14"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4</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45397</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45376</v>
      </c>
      <c r="C11" s="25" t="s">
        <v>20</v>
      </c>
      <c r="D11" s="26">
        <v>0.33333333333333331</v>
      </c>
      <c r="E11" s="23" t="str">
        <f>IF(WEEKDAY(F11,1)=1,"Zondag",IF(WEEKDAY(F11,1)=2,"Maandag",IF(WEEKDAY(F11,1)=3,"Dinsdag",IF(WEEKDAY(F11,1)=4,"Woensdag",IF(WEEKDAY(F11,1)=5,"Donderdag",IF(WEEKDAY(F11,1)=6,"Vrijdag","Zaterdag"))))))</f>
        <v>Maandag</v>
      </c>
      <c r="F11" s="24">
        <f>B11+7</f>
        <v>45383</v>
      </c>
      <c r="G11" s="25" t="s">
        <v>20</v>
      </c>
      <c r="H11" s="26">
        <v>0</v>
      </c>
    </row>
    <row r="12" spans="1:12" ht="99.75" customHeight="1" x14ac:dyDescent="0.35">
      <c r="A12" s="34" t="s">
        <v>67</v>
      </c>
      <c r="B12" s="34"/>
      <c r="C12" s="34"/>
      <c r="D12" s="34"/>
      <c r="E12" s="35" t="s">
        <v>72</v>
      </c>
      <c r="F12" s="35"/>
      <c r="G12" s="35"/>
      <c r="H12" s="35"/>
    </row>
    <row r="13" spans="1:12" x14ac:dyDescent="0.35">
      <c r="A13" s="23" t="str">
        <f>IF(WEEKDAY(B13,1)=1,"Zondag",IF(WEEKDAY(B13,1)=2,"Maandag",IF(WEEKDAY(B13,1)=3,"Dinsdag",IF(WEEKDAY(B13,1)=4,"Woensdag",IF(WEEKDAY(B13,1)=5,"Donderdag",IF(WEEKDAY(B13,1)=6,"Vrijdag","Zaterdag"))))))</f>
        <v>Dinsdag</v>
      </c>
      <c r="B13" s="24">
        <f>B11+1</f>
        <v>45377</v>
      </c>
      <c r="C13" s="25" t="s">
        <v>20</v>
      </c>
      <c r="D13" s="26">
        <v>0.33333333333333331</v>
      </c>
      <c r="E13" s="23" t="str">
        <f>IF(WEEKDAY(F13,1)=1,"Zondag",IF(WEEKDAY(F13,1)=2,"Maandag",IF(WEEKDAY(F13,1)=3,"Dinsdag",IF(WEEKDAY(F13,1)=4,"Woensdag",IF(WEEKDAY(F13,1)=5,"Donderdag",IF(WEEKDAY(F13,1)=6,"Vrijdag","Zaterdag"))))))</f>
        <v>Dinsdag</v>
      </c>
      <c r="F13" s="24">
        <f>F11+1</f>
        <v>45384</v>
      </c>
      <c r="G13" s="25" t="s">
        <v>20</v>
      </c>
      <c r="H13" s="26">
        <v>0.33333333333333331</v>
      </c>
    </row>
    <row r="14" spans="1:12" ht="99.75" customHeight="1" x14ac:dyDescent="0.35">
      <c r="A14" s="35" t="s">
        <v>68</v>
      </c>
      <c r="B14" s="35"/>
      <c r="C14" s="35"/>
      <c r="D14" s="35"/>
      <c r="E14" s="35" t="s">
        <v>73</v>
      </c>
      <c r="F14" s="35"/>
      <c r="G14" s="35"/>
      <c r="H14" s="35"/>
    </row>
    <row r="15" spans="1:12" x14ac:dyDescent="0.35">
      <c r="A15" s="23" t="str">
        <f>IF(WEEKDAY(B15,1)=1,"Zondag",IF(WEEKDAY(B15,1)=2,"Maandag",IF(WEEKDAY(B15,1)=3,"Dinsdag",IF(WEEKDAY(B15,1)=4,"Woensdag",IF(WEEKDAY(B15,1)=5,"Donderdag",IF(WEEKDAY(B15,1)=6,"Vrijdag","Zaterdag"))))))</f>
        <v>Woensdag</v>
      </c>
      <c r="B15" s="24">
        <f>B13+1</f>
        <v>45378</v>
      </c>
      <c r="C15" s="25" t="s">
        <v>20</v>
      </c>
      <c r="D15" s="26">
        <v>0.33333333333333331</v>
      </c>
      <c r="E15" s="23" t="str">
        <f>IF(WEEKDAY(F15,1)=1,"Zondag",IF(WEEKDAY(F15,1)=2,"Maandag",IF(WEEKDAY(F15,1)=3,"Dinsdag",IF(WEEKDAY(F15,1)=4,"Woensdag",IF(WEEKDAY(F15,1)=5,"Donderdag",IF(WEEKDAY(F15,1)=6,"Vrijdag","Zaterdag"))))))</f>
        <v>Woensdag</v>
      </c>
      <c r="F15" s="24">
        <f>F13+1</f>
        <v>45385</v>
      </c>
      <c r="G15" s="25" t="s">
        <v>20</v>
      </c>
      <c r="H15" s="26">
        <v>0</v>
      </c>
    </row>
    <row r="16" spans="1:12" ht="99.75" customHeight="1" x14ac:dyDescent="0.35">
      <c r="A16" s="35" t="s">
        <v>69</v>
      </c>
      <c r="B16" s="35"/>
      <c r="C16" s="35"/>
      <c r="D16" s="35"/>
      <c r="E16" s="35" t="s">
        <v>42</v>
      </c>
      <c r="F16" s="35"/>
      <c r="G16" s="35"/>
      <c r="H16" s="35"/>
    </row>
    <row r="17" spans="1:10" x14ac:dyDescent="0.35">
      <c r="A17" s="23" t="str">
        <f>IF(WEEKDAY(B17,1)=1,"Zondag",IF(WEEKDAY(B17,1)=2,"Maandag",IF(WEEKDAY(B17,1)=3,"Dinsdag",IF(WEEKDAY(B17,1)=4,"Woensdag",IF(WEEKDAY(B17,1)=5,"Donderdag",IF(WEEKDAY(B17,1)=6,"Vrijdag","Zaterdag"))))))</f>
        <v>Donderdag</v>
      </c>
      <c r="B17" s="24">
        <f>B15+1</f>
        <v>45379</v>
      </c>
      <c r="C17" s="25" t="s">
        <v>20</v>
      </c>
      <c r="D17" s="26">
        <v>0.33333333333333331</v>
      </c>
      <c r="E17" s="23" t="str">
        <f>IF(WEEKDAY(F17,1)=1,"Zondag",IF(WEEKDAY(F17,1)=2,"Maandag",IF(WEEKDAY(F17,1)=3,"Dinsdag",IF(WEEKDAY(F17,1)=4,"Woensdag",IF(WEEKDAY(F17,1)=5,"Donderdag",IF(WEEKDAY(F17,1)=6,"Vrijdag","Zaterdag"))))))</f>
        <v>Donderdag</v>
      </c>
      <c r="F17" s="24">
        <f>F15+1</f>
        <v>45386</v>
      </c>
      <c r="G17" s="25" t="s">
        <v>20</v>
      </c>
      <c r="H17" s="26">
        <v>0.33333333333333331</v>
      </c>
    </row>
    <row r="18" spans="1:10" ht="99.75" customHeight="1" x14ac:dyDescent="0.35">
      <c r="A18" s="35" t="s">
        <v>70</v>
      </c>
      <c r="B18" s="35"/>
      <c r="C18" s="35"/>
      <c r="D18" s="35"/>
      <c r="E18" s="35" t="s">
        <v>74</v>
      </c>
      <c r="F18" s="35"/>
      <c r="G18" s="35"/>
      <c r="H18" s="35"/>
    </row>
    <row r="19" spans="1:10" x14ac:dyDescent="0.35">
      <c r="A19" s="23" t="str">
        <f>IF(WEEKDAY(B19,1)=1,"Zondag",IF(WEEKDAY(B19,1)=2,"Maandag",IF(WEEKDAY(B19,1)=3,"Dinsdag",IF(WEEKDAY(B19,1)=4,"Woensdag",IF(WEEKDAY(B19,1)=5,"Donderdag",IF(WEEKDAY(B19,1)=6,"Vrijdag","Zaterdag"))))))</f>
        <v>Vrijdag</v>
      </c>
      <c r="B19" s="24">
        <f>B17+1</f>
        <v>45380</v>
      </c>
      <c r="C19" s="25" t="s">
        <v>20</v>
      </c>
      <c r="D19" s="26">
        <v>0.33333333333333331</v>
      </c>
      <c r="E19" s="23" t="str">
        <f>IF(WEEKDAY(F19,1)=1,"Zondag",IF(WEEKDAY(F19,1)=2,"Maandag",IF(WEEKDAY(F19,1)=3,"Dinsdag",IF(WEEKDAY(F19,1)=4,"Woensdag",IF(WEEKDAY(F19,1)=5,"Donderdag",IF(WEEKDAY(F19,1)=6,"Vrijdag","Zaterdag"))))))</f>
        <v>Vrijdag</v>
      </c>
      <c r="F19" s="24">
        <f>F17+1</f>
        <v>45387</v>
      </c>
      <c r="G19" s="25" t="s">
        <v>20</v>
      </c>
      <c r="H19" s="26">
        <v>0.33333333333333331</v>
      </c>
    </row>
    <row r="20" spans="1:10" ht="99.75" customHeight="1" x14ac:dyDescent="0.35">
      <c r="A20" s="35" t="s">
        <v>71</v>
      </c>
      <c r="B20" s="35"/>
      <c r="C20" s="35"/>
      <c r="D20" s="35"/>
      <c r="E20" s="35" t="s">
        <v>75</v>
      </c>
      <c r="F20" s="35"/>
      <c r="G20" s="35"/>
      <c r="H20" s="35"/>
    </row>
    <row r="21" spans="1:10" x14ac:dyDescent="0.35">
      <c r="A21" s="44" t="s">
        <v>21</v>
      </c>
      <c r="B21" s="44"/>
      <c r="C21" s="44"/>
      <c r="D21" s="27">
        <f>D11+D13+D15+D17+D19+H11+H13+H15+H17+H19</f>
        <v>2.6666666666666665</v>
      </c>
      <c r="E21" s="44" t="s">
        <v>22</v>
      </c>
      <c r="F21" s="44"/>
      <c r="G21" s="44"/>
      <c r="H21" s="27">
        <f>D21+'Werkstaat 3'!H21</f>
        <v>11.9375</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3'!H22</f>
        <v>36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3'!H23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1</v>
      </c>
      <c r="E24" s="47" t="s">
        <v>28</v>
      </c>
      <c r="F24" s="47"/>
      <c r="G24" s="47"/>
      <c r="H24" s="18">
        <f>D24+'Werkstaat 3'!H24</f>
        <v>1</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pageSetUpPr fitToPage="1"/>
  </sheetPr>
  <dimension ref="A1:L31"/>
  <sheetViews>
    <sheetView topLeftCell="A16"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5</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45411</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45390</v>
      </c>
      <c r="C11" s="25" t="s">
        <v>20</v>
      </c>
      <c r="D11" s="26">
        <v>0.33333333333333331</v>
      </c>
      <c r="E11" s="23" t="str">
        <f>IF(WEEKDAY(F11,1)=1,"Zondag",IF(WEEKDAY(F11,1)=2,"Maandag",IF(WEEKDAY(F11,1)=3,"Dinsdag",IF(WEEKDAY(F11,1)=4,"Woensdag",IF(WEEKDAY(F11,1)=5,"Donderdag",IF(WEEKDAY(F11,1)=6,"Vrijdag","Zaterdag"))))))</f>
        <v>Maandag</v>
      </c>
      <c r="F11" s="24">
        <f>B11+7</f>
        <v>45397</v>
      </c>
      <c r="G11" s="25" t="s">
        <v>20</v>
      </c>
      <c r="H11" s="26">
        <v>0.33333333333333331</v>
      </c>
    </row>
    <row r="12" spans="1:12" ht="99.75" customHeight="1" x14ac:dyDescent="0.35">
      <c r="A12" s="34" t="s">
        <v>76</v>
      </c>
      <c r="B12" s="34"/>
      <c r="C12" s="34"/>
      <c r="D12" s="34"/>
      <c r="E12" s="35" t="s">
        <v>80</v>
      </c>
      <c r="F12" s="35"/>
      <c r="G12" s="35"/>
      <c r="H12" s="35"/>
    </row>
    <row r="13" spans="1:12" x14ac:dyDescent="0.35">
      <c r="A13" s="23" t="str">
        <f>IF(WEEKDAY(B13,1)=1,"Zondag",IF(WEEKDAY(B13,1)=2,"Maandag",IF(WEEKDAY(B13,1)=3,"Dinsdag",IF(WEEKDAY(B13,1)=4,"Woensdag",IF(WEEKDAY(B13,1)=5,"Donderdag",IF(WEEKDAY(B13,1)=6,"Vrijdag","Zaterdag"))))))</f>
        <v>Dinsdag</v>
      </c>
      <c r="B13" s="24">
        <f>B11+1</f>
        <v>45391</v>
      </c>
      <c r="C13" s="25" t="s">
        <v>20</v>
      </c>
      <c r="D13" s="26">
        <v>0.33333333333333331</v>
      </c>
      <c r="E13" s="23" t="str">
        <f>IF(WEEKDAY(F13,1)=1,"Zondag",IF(WEEKDAY(F13,1)=2,"Maandag",IF(WEEKDAY(F13,1)=3,"Dinsdag",IF(WEEKDAY(F13,1)=4,"Woensdag",IF(WEEKDAY(F13,1)=5,"Donderdag",IF(WEEKDAY(F13,1)=6,"Vrijdag","Zaterdag"))))))</f>
        <v>Dinsdag</v>
      </c>
      <c r="F13" s="24">
        <f>F11+1</f>
        <v>45398</v>
      </c>
      <c r="G13" s="25" t="s">
        <v>20</v>
      </c>
      <c r="H13" s="26">
        <v>0.33333333333333331</v>
      </c>
    </row>
    <row r="14" spans="1:12" ht="99.75" customHeight="1" x14ac:dyDescent="0.35">
      <c r="A14" s="35" t="s">
        <v>77</v>
      </c>
      <c r="B14" s="35"/>
      <c r="C14" s="35"/>
      <c r="D14" s="35"/>
      <c r="E14" s="35" t="s">
        <v>81</v>
      </c>
      <c r="F14" s="35"/>
      <c r="G14" s="35"/>
      <c r="H14" s="35"/>
    </row>
    <row r="15" spans="1:12" x14ac:dyDescent="0.35">
      <c r="A15" s="23" t="str">
        <f>IF(WEEKDAY(B15,1)=1,"Zondag",IF(WEEKDAY(B15,1)=2,"Maandag",IF(WEEKDAY(B15,1)=3,"Dinsdag",IF(WEEKDAY(B15,1)=4,"Woensdag",IF(WEEKDAY(B15,1)=5,"Donderdag",IF(WEEKDAY(B15,1)=6,"Vrijdag","Zaterdag"))))))</f>
        <v>Woensdag</v>
      </c>
      <c r="B15" s="24">
        <f>B13+1</f>
        <v>45392</v>
      </c>
      <c r="C15" s="25" t="s">
        <v>20</v>
      </c>
      <c r="D15" s="26">
        <v>0.33333333333333331</v>
      </c>
      <c r="E15" s="23" t="str">
        <f>IF(WEEKDAY(F15,1)=1,"Zondag",IF(WEEKDAY(F15,1)=2,"Maandag",IF(WEEKDAY(F15,1)=3,"Dinsdag",IF(WEEKDAY(F15,1)=4,"Woensdag",IF(WEEKDAY(F15,1)=5,"Donderdag",IF(WEEKDAY(F15,1)=6,"Vrijdag","Zaterdag"))))))</f>
        <v>Woensdag</v>
      </c>
      <c r="F15" s="24">
        <f>F13+1</f>
        <v>45399</v>
      </c>
      <c r="G15" s="25" t="s">
        <v>20</v>
      </c>
      <c r="H15" s="26">
        <v>0.33333333333333331</v>
      </c>
    </row>
    <row r="16" spans="1:12" ht="99.75" customHeight="1" x14ac:dyDescent="0.35">
      <c r="A16" s="35" t="s">
        <v>78</v>
      </c>
      <c r="B16" s="35"/>
      <c r="C16" s="35"/>
      <c r="D16" s="35"/>
      <c r="E16" s="35" t="s">
        <v>82</v>
      </c>
      <c r="F16" s="35"/>
      <c r="G16" s="35"/>
      <c r="H16" s="35"/>
    </row>
    <row r="17" spans="1:10" x14ac:dyDescent="0.35">
      <c r="A17" s="23" t="str">
        <f>IF(WEEKDAY(B17,1)=1,"Zondag",IF(WEEKDAY(B17,1)=2,"Maandag",IF(WEEKDAY(B17,1)=3,"Dinsdag",IF(WEEKDAY(B17,1)=4,"Woensdag",IF(WEEKDAY(B17,1)=5,"Donderdag",IF(WEEKDAY(B17,1)=6,"Vrijdag","Zaterdag"))))))</f>
        <v>Donderdag</v>
      </c>
      <c r="B17" s="24">
        <f>B15+1</f>
        <v>45393</v>
      </c>
      <c r="C17" s="25" t="s">
        <v>20</v>
      </c>
      <c r="D17" s="26">
        <v>0.33333333333333331</v>
      </c>
      <c r="E17" s="23" t="str">
        <f>IF(WEEKDAY(F17,1)=1,"Zondag",IF(WEEKDAY(F17,1)=2,"Maandag",IF(WEEKDAY(F17,1)=3,"Dinsdag",IF(WEEKDAY(F17,1)=4,"Woensdag",IF(WEEKDAY(F17,1)=5,"Donderdag",IF(WEEKDAY(F17,1)=6,"Vrijdag","Zaterdag"))))))</f>
        <v>Donderdag</v>
      </c>
      <c r="F17" s="24">
        <f>F15+1</f>
        <v>45400</v>
      </c>
      <c r="G17" s="25" t="s">
        <v>20</v>
      </c>
      <c r="H17" s="26">
        <v>0.33333333333333331</v>
      </c>
    </row>
    <row r="18" spans="1:10" ht="99.75" customHeight="1" x14ac:dyDescent="0.35">
      <c r="A18" s="35" t="s">
        <v>79</v>
      </c>
      <c r="B18" s="35"/>
      <c r="C18" s="35"/>
      <c r="D18" s="35"/>
      <c r="E18" s="35" t="s">
        <v>83</v>
      </c>
      <c r="F18" s="35"/>
      <c r="G18" s="35"/>
      <c r="H18" s="35"/>
    </row>
    <row r="19" spans="1:10" x14ac:dyDescent="0.35">
      <c r="A19" s="23" t="str">
        <f>IF(WEEKDAY(B19,1)=1,"Zondag",IF(WEEKDAY(B19,1)=2,"Maandag",IF(WEEKDAY(B19,1)=3,"Dinsdag",IF(WEEKDAY(B19,1)=4,"Woensdag",IF(WEEKDAY(B19,1)=5,"Donderdag",IF(WEEKDAY(B19,1)=6,"Vrijdag","Zaterdag"))))))</f>
        <v>Vrijdag</v>
      </c>
      <c r="B19" s="24">
        <f>B17+1</f>
        <v>45394</v>
      </c>
      <c r="C19" s="25" t="s">
        <v>20</v>
      </c>
      <c r="D19" s="26">
        <v>0.16666666666666666</v>
      </c>
      <c r="E19" s="23" t="str">
        <f>IF(WEEKDAY(F19,1)=1,"Zondag",IF(WEEKDAY(F19,1)=2,"Maandag",IF(WEEKDAY(F19,1)=3,"Dinsdag",IF(WEEKDAY(F19,1)=4,"Woensdag",IF(WEEKDAY(F19,1)=5,"Donderdag",IF(WEEKDAY(F19,1)=6,"Vrijdag","Zaterdag"))))))</f>
        <v>Vrijdag</v>
      </c>
      <c r="F19" s="24">
        <f>F17+1</f>
        <v>45401</v>
      </c>
      <c r="G19" s="25" t="s">
        <v>20</v>
      </c>
      <c r="H19" s="26">
        <v>0.33333333333333331</v>
      </c>
    </row>
    <row r="20" spans="1:10" ht="99.75" customHeight="1" x14ac:dyDescent="0.35">
      <c r="A20" s="35" t="s">
        <v>124</v>
      </c>
      <c r="B20" s="35"/>
      <c r="C20" s="35"/>
      <c r="D20" s="35"/>
      <c r="E20" s="35" t="s">
        <v>125</v>
      </c>
      <c r="F20" s="35"/>
      <c r="G20" s="35"/>
      <c r="H20" s="35"/>
    </row>
    <row r="21" spans="1:10" x14ac:dyDescent="0.35">
      <c r="A21" s="44" t="s">
        <v>21</v>
      </c>
      <c r="B21" s="44"/>
      <c r="C21" s="44"/>
      <c r="D21" s="27">
        <f>D11+D13+D15+D17+D19+H11+H13+H15+H17+H19</f>
        <v>3.166666666666667</v>
      </c>
      <c r="E21" s="44" t="s">
        <v>22</v>
      </c>
      <c r="F21" s="44"/>
      <c r="G21" s="44"/>
      <c r="H21" s="27">
        <f>D21+'Werkstaat 4'!H21</f>
        <v>15.104166666666668</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4'!H22</f>
        <v>46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4'!H23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4'!H24</f>
        <v>1</v>
      </c>
    </row>
    <row r="25" spans="1:10" x14ac:dyDescent="0.35">
      <c r="A25" s="13"/>
      <c r="B25" s="19"/>
      <c r="C25" s="19"/>
      <c r="D25" s="19"/>
      <c r="E25" s="19"/>
      <c r="F25" s="19"/>
      <c r="G25" s="19"/>
      <c r="H25" s="14"/>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pageSetUpPr fitToPage="1"/>
  </sheetPr>
  <dimension ref="A1:L31"/>
  <sheetViews>
    <sheetView topLeftCell="A14"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6</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45425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45404</v>
      </c>
      <c r="C11" s="25" t="s">
        <v>20</v>
      </c>
      <c r="D11" s="26">
        <v>0.33333333333333331</v>
      </c>
      <c r="E11" s="23" t="str">
        <f>IF(WEEKDAY(F11,1)=1,"Zondag",IF(WEEKDAY(F11,1)=2,"Maandag",IF(WEEKDAY(F11,1)=3,"Dinsdag",IF(WEEKDAY(F11,1)=4,"Woensdag",IF(WEEKDAY(F11,1)=5,"Donderdag",IF(WEEKDAY(F11,1)=6,"Vrijdag","Zaterdag"))))))</f>
        <v>Maandag</v>
      </c>
      <c r="F11" s="24">
        <f>B11+7</f>
        <v>45411</v>
      </c>
      <c r="G11" s="25" t="s">
        <v>20</v>
      </c>
      <c r="H11" s="26">
        <v>0.33333333333333331</v>
      </c>
    </row>
    <row r="12" spans="1:12" ht="99.75" customHeight="1" x14ac:dyDescent="0.35">
      <c r="A12" s="34" t="s">
        <v>84</v>
      </c>
      <c r="B12" s="34"/>
      <c r="C12" s="34"/>
      <c r="D12" s="34"/>
      <c r="E12" s="35" t="s">
        <v>89</v>
      </c>
      <c r="F12" s="35"/>
      <c r="G12" s="35"/>
      <c r="H12" s="35"/>
    </row>
    <row r="13" spans="1:12" x14ac:dyDescent="0.35">
      <c r="A13" s="23" t="str">
        <f>IF(WEEKDAY(B13,1)=1,"Zondag",IF(WEEKDAY(B13,1)=2,"Maandag",IF(WEEKDAY(B13,1)=3,"Dinsdag",IF(WEEKDAY(B13,1)=4,"Woensdag",IF(WEEKDAY(B13,1)=5,"Donderdag",IF(WEEKDAY(B13,1)=6,"Vrijdag","Zaterdag"))))))</f>
        <v>Dinsdag</v>
      </c>
      <c r="B13" s="24">
        <f>B11+1</f>
        <v>45405</v>
      </c>
      <c r="C13" s="25" t="s">
        <v>20</v>
      </c>
      <c r="D13" s="26">
        <v>0</v>
      </c>
      <c r="E13" s="23" t="str">
        <f>IF(WEEKDAY(F13,1)=1,"Zondag",IF(WEEKDAY(F13,1)=2,"Maandag",IF(WEEKDAY(F13,1)=3,"Dinsdag",IF(WEEKDAY(F13,1)=4,"Woensdag",IF(WEEKDAY(F13,1)=5,"Donderdag",IF(WEEKDAY(F13,1)=6,"Vrijdag","Zaterdag"))))))</f>
        <v>Dinsdag</v>
      </c>
      <c r="F13" s="24">
        <f>F11+1</f>
        <v>45412</v>
      </c>
      <c r="G13" s="25" t="s">
        <v>20</v>
      </c>
      <c r="H13" s="26">
        <v>0.20833333333333334</v>
      </c>
    </row>
    <row r="14" spans="1:12" ht="99.75" customHeight="1" x14ac:dyDescent="0.35">
      <c r="A14" s="35" t="s">
        <v>85</v>
      </c>
      <c r="B14" s="35"/>
      <c r="C14" s="35"/>
      <c r="D14" s="35"/>
      <c r="E14" s="35" t="s">
        <v>90</v>
      </c>
      <c r="F14" s="35"/>
      <c r="G14" s="35"/>
      <c r="H14" s="35"/>
    </row>
    <row r="15" spans="1:12" x14ac:dyDescent="0.35">
      <c r="A15" s="23" t="str">
        <f>IF(WEEKDAY(B15,1)=1,"Zondag",IF(WEEKDAY(B15,1)=2,"Maandag",IF(WEEKDAY(B15,1)=3,"Dinsdag",IF(WEEKDAY(B15,1)=4,"Woensdag",IF(WEEKDAY(B15,1)=5,"Donderdag",IF(WEEKDAY(B15,1)=6,"Vrijdag","Zaterdag"))))))</f>
        <v>Woensdag</v>
      </c>
      <c r="B15" s="24">
        <f>B13+1</f>
        <v>45406</v>
      </c>
      <c r="C15" s="25" t="s">
        <v>20</v>
      </c>
      <c r="D15" s="26">
        <v>0</v>
      </c>
      <c r="E15" s="23" t="str">
        <f>IF(WEEKDAY(F15,1)=1,"Zondag",IF(WEEKDAY(F15,1)=2,"Maandag",IF(WEEKDAY(F15,1)=3,"Dinsdag",IF(WEEKDAY(F15,1)=4,"Woensdag",IF(WEEKDAY(F15,1)=5,"Donderdag",IF(WEEKDAY(F15,1)=6,"Vrijdag","Zaterdag"))))))</f>
        <v>Woensdag</v>
      </c>
      <c r="F15" s="24">
        <f>F13+1</f>
        <v>45413</v>
      </c>
      <c r="G15" s="25" t="s">
        <v>20</v>
      </c>
      <c r="H15" s="26">
        <v>0.33333333333333331</v>
      </c>
    </row>
    <row r="16" spans="1:12" ht="99.75" customHeight="1" x14ac:dyDescent="0.35">
      <c r="A16" s="35" t="s">
        <v>86</v>
      </c>
      <c r="B16" s="35"/>
      <c r="C16" s="35"/>
      <c r="D16" s="35"/>
      <c r="E16" s="35" t="s">
        <v>91</v>
      </c>
      <c r="F16" s="35"/>
      <c r="G16" s="35"/>
      <c r="H16" s="35"/>
    </row>
    <row r="17" spans="1:10" x14ac:dyDescent="0.35">
      <c r="A17" s="23" t="str">
        <f>IF(WEEKDAY(B17,1)=1,"Zondag",IF(WEEKDAY(B17,1)=2,"Maandag",IF(WEEKDAY(B17,1)=3,"Dinsdag",IF(WEEKDAY(B17,1)=4,"Woensdag",IF(WEEKDAY(B17,1)=5,"Donderdag",IF(WEEKDAY(B17,1)=6,"Vrijdag","Zaterdag"))))))</f>
        <v>Donderdag</v>
      </c>
      <c r="B17" s="24">
        <f>B15+1</f>
        <v>45407</v>
      </c>
      <c r="C17" s="25" t="s">
        <v>20</v>
      </c>
      <c r="D17" s="26">
        <v>0.33333333333333331</v>
      </c>
      <c r="E17" s="23" t="str">
        <f>IF(WEEKDAY(F17,1)=1,"Zondag",IF(WEEKDAY(F17,1)=2,"Maandag",IF(WEEKDAY(F17,1)=3,"Dinsdag",IF(WEEKDAY(F17,1)=4,"Woensdag",IF(WEEKDAY(F17,1)=5,"Donderdag",IF(WEEKDAY(F17,1)=6,"Vrijdag","Zaterdag"))))))</f>
        <v>Donderdag</v>
      </c>
      <c r="F17" s="24">
        <f>F15+1</f>
        <v>45414</v>
      </c>
      <c r="G17" s="25" t="s">
        <v>20</v>
      </c>
      <c r="H17" s="26">
        <v>0.33333333333333331</v>
      </c>
    </row>
    <row r="18" spans="1:10" ht="99.75" customHeight="1" x14ac:dyDescent="0.35">
      <c r="A18" s="35" t="s">
        <v>87</v>
      </c>
      <c r="B18" s="35"/>
      <c r="C18" s="35"/>
      <c r="D18" s="35"/>
      <c r="E18" s="35" t="s">
        <v>92</v>
      </c>
      <c r="F18" s="35"/>
      <c r="G18" s="35"/>
      <c r="H18" s="35"/>
    </row>
    <row r="19" spans="1:10" x14ac:dyDescent="0.35">
      <c r="A19" s="23" t="str">
        <f>IF(WEEKDAY(B19,1)=1,"Zondag",IF(WEEKDAY(B19,1)=2,"Maandag",IF(WEEKDAY(B19,1)=3,"Dinsdag",IF(WEEKDAY(B19,1)=4,"Woensdag",IF(WEEKDAY(B19,1)=5,"Donderdag",IF(WEEKDAY(B19,1)=6,"Vrijdag","Zaterdag"))))))</f>
        <v>Vrijdag</v>
      </c>
      <c r="B19" s="24">
        <f>B17+1</f>
        <v>45408</v>
      </c>
      <c r="C19" s="25" t="s">
        <v>20</v>
      </c>
      <c r="D19" s="26">
        <v>0.33333333333333331</v>
      </c>
      <c r="E19" s="23" t="str">
        <f>IF(WEEKDAY(F19,1)=1,"Zondag",IF(WEEKDAY(F19,1)=2,"Maandag",IF(WEEKDAY(F19,1)=3,"Dinsdag",IF(WEEKDAY(F19,1)=4,"Woensdag",IF(WEEKDAY(F19,1)=5,"Donderdag",IF(WEEKDAY(F19,1)=6,"Vrijdag","Zaterdag"))))))</f>
        <v>Vrijdag</v>
      </c>
      <c r="F19" s="24">
        <f>F17+1</f>
        <v>45415</v>
      </c>
      <c r="G19" s="25" t="s">
        <v>20</v>
      </c>
      <c r="H19" s="26">
        <v>0.33333333333333331</v>
      </c>
    </row>
    <row r="20" spans="1:10" ht="99.75" customHeight="1" x14ac:dyDescent="0.35">
      <c r="A20" s="35" t="s">
        <v>88</v>
      </c>
      <c r="B20" s="35"/>
      <c r="C20" s="35"/>
      <c r="D20" s="35"/>
      <c r="E20" s="49" t="s">
        <v>93</v>
      </c>
      <c r="F20" s="49"/>
      <c r="G20" s="49"/>
      <c r="H20" s="49"/>
    </row>
    <row r="21" spans="1:10" x14ac:dyDescent="0.35">
      <c r="A21" s="44" t="s">
        <v>21</v>
      </c>
      <c r="B21" s="44"/>
      <c r="C21" s="44"/>
      <c r="D21" s="27">
        <f>D11+D13+D15+D17+D19+H11+H13+H15+H17+H19</f>
        <v>2.5416666666666665</v>
      </c>
      <c r="E21" s="44" t="s">
        <v>22</v>
      </c>
      <c r="F21" s="44"/>
      <c r="G21" s="44"/>
      <c r="H21" s="27">
        <f>D21+'Werkstaat 5'!H21</f>
        <v>17.645833333333336</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5'!H22</f>
        <v>54</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5'!H23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1</v>
      </c>
      <c r="E24" s="47" t="s">
        <v>28</v>
      </c>
      <c r="F24" s="47"/>
      <c r="G24" s="47"/>
      <c r="H24" s="18">
        <f>D24+'Werkstaat 5'!H24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pageSetUpPr fitToPage="1"/>
  </sheetPr>
  <dimension ref="A1:L31"/>
  <sheetViews>
    <sheetView topLeftCell="A16"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7</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45439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45418</v>
      </c>
      <c r="C11" s="25" t="s">
        <v>20</v>
      </c>
      <c r="D11" s="26">
        <v>0.33333333333333331</v>
      </c>
      <c r="E11" s="23" t="str">
        <f>IF(WEEKDAY(F11,1)=1,"Zondag",IF(WEEKDAY(F11,1)=2,"Maandag",IF(WEEKDAY(F11,1)=3,"Dinsdag",IF(WEEKDAY(F11,1)=4,"Woensdag",IF(WEEKDAY(F11,1)=5,"Donderdag",IF(WEEKDAY(F11,1)=6,"Vrijdag","Zaterdag"))))))</f>
        <v>Maandag</v>
      </c>
      <c r="F11" s="24">
        <f>B11+7</f>
        <v>45425</v>
      </c>
      <c r="G11" s="25" t="s">
        <v>20</v>
      </c>
      <c r="H11" s="26">
        <v>0.33333333333333331</v>
      </c>
    </row>
    <row r="12" spans="1:12" ht="99.75" customHeight="1" x14ac:dyDescent="0.35">
      <c r="A12" s="34" t="s">
        <v>94</v>
      </c>
      <c r="B12" s="34"/>
      <c r="C12" s="34"/>
      <c r="D12" s="34"/>
      <c r="E12" s="35" t="s">
        <v>99</v>
      </c>
      <c r="F12" s="35"/>
      <c r="G12" s="35"/>
      <c r="H12" s="35"/>
    </row>
    <row r="13" spans="1:12" x14ac:dyDescent="0.35">
      <c r="A13" s="23" t="str">
        <f>IF(WEEKDAY(B13,1)=1,"Zondag",IF(WEEKDAY(B13,1)=2,"Maandag",IF(WEEKDAY(B13,1)=3,"Dinsdag",IF(WEEKDAY(B13,1)=4,"Woensdag",IF(WEEKDAY(B13,1)=5,"Donderdag",IF(WEEKDAY(B13,1)=6,"Vrijdag","Zaterdag"))))))</f>
        <v>Dinsdag</v>
      </c>
      <c r="B13" s="24">
        <f>B11+1</f>
        <v>45419</v>
      </c>
      <c r="C13" s="25" t="s">
        <v>20</v>
      </c>
      <c r="D13" s="26">
        <v>0.33333333333333331</v>
      </c>
      <c r="E13" s="23" t="str">
        <f>IF(WEEKDAY(F13,1)=1,"Zondag",IF(WEEKDAY(F13,1)=2,"Maandag",IF(WEEKDAY(F13,1)=3,"Dinsdag",IF(WEEKDAY(F13,1)=4,"Woensdag",IF(WEEKDAY(F13,1)=5,"Donderdag",IF(WEEKDAY(F13,1)=6,"Vrijdag","Zaterdag"))))))</f>
        <v>Dinsdag</v>
      </c>
      <c r="F13" s="24">
        <f>F11+1</f>
        <v>45426</v>
      </c>
      <c r="G13" s="25" t="s">
        <v>20</v>
      </c>
      <c r="H13" s="26">
        <v>0.33333333333333331</v>
      </c>
    </row>
    <row r="14" spans="1:12" ht="99.75" customHeight="1" x14ac:dyDescent="0.35">
      <c r="A14" s="51" t="s">
        <v>95</v>
      </c>
      <c r="B14" s="35"/>
      <c r="C14" s="35"/>
      <c r="D14" s="35"/>
      <c r="E14" s="35" t="s">
        <v>100</v>
      </c>
      <c r="F14" s="35"/>
      <c r="G14" s="35"/>
      <c r="H14" s="35"/>
    </row>
    <row r="15" spans="1:12" x14ac:dyDescent="0.35">
      <c r="A15" s="23" t="str">
        <f>IF(WEEKDAY(B15,1)=1,"Zondag",IF(WEEKDAY(B15,1)=2,"Maandag",IF(WEEKDAY(B15,1)=3,"Dinsdag",IF(WEEKDAY(B15,1)=4,"Woensdag",IF(WEEKDAY(B15,1)=5,"Donderdag",IF(WEEKDAY(B15,1)=6,"Vrijdag","Zaterdag"))))))</f>
        <v>Woensdag</v>
      </c>
      <c r="B15" s="24">
        <f>B13+1</f>
        <v>45420</v>
      </c>
      <c r="C15" s="25" t="s">
        <v>20</v>
      </c>
      <c r="D15" s="26">
        <v>0.33333333333333331</v>
      </c>
      <c r="E15" s="23" t="str">
        <f>IF(WEEKDAY(F15,1)=1,"Zondag",IF(WEEKDAY(F15,1)=2,"Maandag",IF(WEEKDAY(F15,1)=3,"Dinsdag",IF(WEEKDAY(F15,1)=4,"Woensdag",IF(WEEKDAY(F15,1)=5,"Donderdag",IF(WEEKDAY(F15,1)=6,"Vrijdag","Zaterdag"))))))</f>
        <v>Woensdag</v>
      </c>
      <c r="F15" s="24">
        <f>F13+1</f>
        <v>45427</v>
      </c>
      <c r="G15" s="25" t="s">
        <v>20</v>
      </c>
      <c r="H15" s="26">
        <v>0.33333333333333331</v>
      </c>
    </row>
    <row r="16" spans="1:12" ht="99.75" customHeight="1" x14ac:dyDescent="0.35">
      <c r="A16" s="35" t="s">
        <v>98</v>
      </c>
      <c r="B16" s="35"/>
      <c r="C16" s="35"/>
      <c r="D16" s="35"/>
      <c r="E16" s="35" t="s">
        <v>102</v>
      </c>
      <c r="F16" s="35"/>
      <c r="G16" s="35"/>
      <c r="H16" s="35"/>
    </row>
    <row r="17" spans="1:10" x14ac:dyDescent="0.35">
      <c r="A17" s="23" t="str">
        <f>IF(WEEKDAY(B17,1)=1,"Zondag",IF(WEEKDAY(B17,1)=2,"Maandag",IF(WEEKDAY(B17,1)=3,"Dinsdag",IF(WEEKDAY(B17,1)=4,"Woensdag",IF(WEEKDAY(B17,1)=5,"Donderdag",IF(WEEKDAY(B17,1)=6,"Vrijdag","Zaterdag"))))))</f>
        <v>Donderdag</v>
      </c>
      <c r="B17" s="24">
        <f>B15+1</f>
        <v>45421</v>
      </c>
      <c r="C17" s="25" t="s">
        <v>20</v>
      </c>
      <c r="D17" s="26">
        <v>0</v>
      </c>
      <c r="E17" s="23" t="str">
        <f>IF(WEEKDAY(F17,1)=1,"Zondag",IF(WEEKDAY(F17,1)=2,"Maandag",IF(WEEKDAY(F17,1)=3,"Dinsdag",IF(WEEKDAY(F17,1)=4,"Woensdag",IF(WEEKDAY(F17,1)=5,"Donderdag",IF(WEEKDAY(F17,1)=6,"Vrijdag","Zaterdag"))))))</f>
        <v>Donderdag</v>
      </c>
      <c r="F17" s="24">
        <f>F15+1</f>
        <v>45428</v>
      </c>
      <c r="G17" s="25" t="s">
        <v>20</v>
      </c>
      <c r="H17" s="26">
        <v>0.33333333333333331</v>
      </c>
    </row>
    <row r="18" spans="1:10" ht="99.75" customHeight="1" x14ac:dyDescent="0.35">
      <c r="A18" s="35" t="s">
        <v>96</v>
      </c>
      <c r="B18" s="35"/>
      <c r="C18" s="35"/>
      <c r="D18" s="35"/>
      <c r="E18" s="35" t="s">
        <v>103</v>
      </c>
      <c r="F18" s="35"/>
      <c r="G18" s="35"/>
      <c r="H18" s="35"/>
    </row>
    <row r="19" spans="1:10" x14ac:dyDescent="0.35">
      <c r="A19" s="23" t="str">
        <f>IF(WEEKDAY(B19,1)=1,"Zondag",IF(WEEKDAY(B19,1)=2,"Maandag",IF(WEEKDAY(B19,1)=3,"Dinsdag",IF(WEEKDAY(B19,1)=4,"Woensdag",IF(WEEKDAY(B19,1)=5,"Donderdag",IF(WEEKDAY(B19,1)=6,"Vrijdag","Zaterdag"))))))</f>
        <v>Vrijdag</v>
      </c>
      <c r="B19" s="24">
        <f>B17+1</f>
        <v>45422</v>
      </c>
      <c r="C19" s="25" t="s">
        <v>20</v>
      </c>
      <c r="D19" s="26">
        <v>0</v>
      </c>
      <c r="E19" s="23" t="str">
        <f>IF(WEEKDAY(F19,1)=1,"Zondag",IF(WEEKDAY(F19,1)=2,"Maandag",IF(WEEKDAY(F19,1)=3,"Dinsdag",IF(WEEKDAY(F19,1)=4,"Woensdag",IF(WEEKDAY(F19,1)=5,"Donderdag",IF(WEEKDAY(F19,1)=6,"Vrijdag","Zaterdag"))))))</f>
        <v>Vrijdag</v>
      </c>
      <c r="F19" s="24">
        <f>F17+1</f>
        <v>45429</v>
      </c>
      <c r="G19" s="25" t="s">
        <v>20</v>
      </c>
      <c r="H19" s="26">
        <v>0.33333333333333331</v>
      </c>
    </row>
    <row r="20" spans="1:10" ht="99.75" customHeight="1" x14ac:dyDescent="0.35">
      <c r="A20" s="35" t="s">
        <v>97</v>
      </c>
      <c r="B20" s="35"/>
      <c r="C20" s="35"/>
      <c r="D20" s="35"/>
      <c r="E20" s="49" t="s">
        <v>104</v>
      </c>
      <c r="F20" s="49"/>
      <c r="G20" s="49"/>
      <c r="H20" s="49"/>
    </row>
    <row r="21" spans="1:10" x14ac:dyDescent="0.35">
      <c r="A21" s="44" t="s">
        <v>21</v>
      </c>
      <c r="B21" s="44"/>
      <c r="C21" s="44"/>
      <c r="D21" s="27">
        <f>D11+D13+D15+D17+D19+H11+H13+H15+H17+H19</f>
        <v>2.6666666666666665</v>
      </c>
      <c r="E21" s="44" t="s">
        <v>22</v>
      </c>
      <c r="F21" s="44"/>
      <c r="G21" s="44"/>
      <c r="H21" s="27">
        <f>D21+'Werkstaat 6'!H21</f>
        <v>20.312500000000004</v>
      </c>
      <c r="J21" s="33"/>
    </row>
    <row r="22" spans="1:10" x14ac:dyDescent="0.35">
      <c r="A22" s="45" t="s">
        <v>23</v>
      </c>
      <c r="B22" s="45"/>
      <c r="C22" s="45"/>
      <c r="D22" s="16">
        <f>IF(D11&gt;0,1,0)+IF(D13&gt;0,1,0)+IF(D15&gt;0,1,0)+IF(D17&gt;0,1,0)+IF(D19&gt;0,1,0)+IF(H11&gt;0,1,0)+IF(H13&gt;0,1,0)+IF(H15&gt;0,1,0)+IF(H17&gt;0,1,0)+IF(H19&gt;0,1,0)</f>
        <v>8</v>
      </c>
      <c r="E22" s="45" t="s">
        <v>24</v>
      </c>
      <c r="F22" s="45"/>
      <c r="G22" s="45"/>
      <c r="H22" s="16">
        <f>D22+'Werkstaat 6'!H22</f>
        <v>62</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6'!H23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6'!H24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pageSetUpPr fitToPage="1"/>
  </sheetPr>
  <dimension ref="A1:L31"/>
  <sheetViews>
    <sheetView topLeftCell="A16" workbookViewId="0">
      <selection activeCell="A20" sqref="A20:D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8</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45453</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45432</v>
      </c>
      <c r="C11" s="25" t="s">
        <v>20</v>
      </c>
      <c r="D11" s="26">
        <v>0</v>
      </c>
      <c r="E11" s="23" t="str">
        <f>IF(WEEKDAY(F11,1)=1,"Zondag",IF(WEEKDAY(F11,1)=2,"Maandag",IF(WEEKDAY(F11,1)=3,"Dinsdag",IF(WEEKDAY(F11,1)=4,"Woensdag",IF(WEEKDAY(F11,1)=5,"Donderdag",IF(WEEKDAY(F11,1)=6,"Vrijdag","Zaterdag"))))))</f>
        <v>Maandag</v>
      </c>
      <c r="F11" s="24">
        <f>B11+7</f>
        <v>45439</v>
      </c>
      <c r="G11" s="25" t="s">
        <v>20</v>
      </c>
      <c r="H11" s="26">
        <v>0</v>
      </c>
    </row>
    <row r="12" spans="1:12" ht="99.75" customHeight="1" x14ac:dyDescent="0.35">
      <c r="A12" s="34" t="s">
        <v>101</v>
      </c>
      <c r="B12" s="34"/>
      <c r="C12" s="34"/>
      <c r="D12" s="34"/>
      <c r="E12" s="35" t="s">
        <v>107</v>
      </c>
      <c r="F12" s="35"/>
      <c r="G12" s="35"/>
      <c r="H12" s="35"/>
    </row>
    <row r="13" spans="1:12" x14ac:dyDescent="0.35">
      <c r="A13" s="23" t="str">
        <f>IF(WEEKDAY(B13,1)=1,"Zondag",IF(WEEKDAY(B13,1)=2,"Maandag",IF(WEEKDAY(B13,1)=3,"Dinsdag",IF(WEEKDAY(B13,1)=4,"Woensdag",IF(WEEKDAY(B13,1)=5,"Donderdag",IF(WEEKDAY(B13,1)=6,"Vrijdag","Zaterdag"))))))</f>
        <v>Dinsdag</v>
      </c>
      <c r="B13" s="24">
        <f>B11+1</f>
        <v>45433</v>
      </c>
      <c r="C13" s="25" t="s">
        <v>20</v>
      </c>
      <c r="D13" s="26">
        <v>0.33333333333333331</v>
      </c>
      <c r="E13" s="23" t="str">
        <f>IF(WEEKDAY(F13,1)=1,"Zondag",IF(WEEKDAY(F13,1)=2,"Maandag",IF(WEEKDAY(F13,1)=3,"Dinsdag",IF(WEEKDAY(F13,1)=4,"Woensdag",IF(WEEKDAY(F13,1)=5,"Donderdag",IF(WEEKDAY(F13,1)=6,"Vrijdag","Zaterdag"))))))</f>
        <v>Dinsdag</v>
      </c>
      <c r="F13" s="24">
        <f>F11+1</f>
        <v>45440</v>
      </c>
      <c r="G13" s="25" t="s">
        <v>20</v>
      </c>
      <c r="H13" s="26">
        <v>0</v>
      </c>
    </row>
    <row r="14" spans="1:12" ht="99.75" customHeight="1" x14ac:dyDescent="0.35">
      <c r="A14" s="35" t="s">
        <v>105</v>
      </c>
      <c r="B14" s="35"/>
      <c r="C14" s="35"/>
      <c r="D14" s="35"/>
      <c r="E14" s="35" t="s">
        <v>107</v>
      </c>
      <c r="F14" s="35"/>
      <c r="G14" s="35"/>
      <c r="H14" s="35"/>
    </row>
    <row r="15" spans="1:12" x14ac:dyDescent="0.35">
      <c r="A15" s="23" t="str">
        <f>IF(WEEKDAY(B15,1)=1,"Zondag",IF(WEEKDAY(B15,1)=2,"Maandag",IF(WEEKDAY(B15,1)=3,"Dinsdag",IF(WEEKDAY(B15,1)=4,"Woensdag",IF(WEEKDAY(B15,1)=5,"Donderdag",IF(WEEKDAY(B15,1)=6,"Vrijdag","Zaterdag"))))))</f>
        <v>Woensdag</v>
      </c>
      <c r="B15" s="24">
        <f>B13+1</f>
        <v>45434</v>
      </c>
      <c r="C15" s="25" t="s">
        <v>20</v>
      </c>
      <c r="D15" s="26">
        <v>0.33333333333333331</v>
      </c>
      <c r="E15" s="23" t="str">
        <f>IF(WEEKDAY(F15,1)=1,"Zondag",IF(WEEKDAY(F15,1)=2,"Maandag",IF(WEEKDAY(F15,1)=3,"Dinsdag",IF(WEEKDAY(F15,1)=4,"Woensdag",IF(WEEKDAY(F15,1)=5,"Donderdag",IF(WEEKDAY(F15,1)=6,"Vrijdag","Zaterdag"))))))</f>
        <v>Woensdag</v>
      </c>
      <c r="F15" s="24">
        <f>F13+1</f>
        <v>45441</v>
      </c>
      <c r="G15" s="25" t="s">
        <v>20</v>
      </c>
      <c r="H15" s="26">
        <v>0</v>
      </c>
    </row>
    <row r="16" spans="1:12" ht="99.75" customHeight="1" x14ac:dyDescent="0.35">
      <c r="A16" s="35" t="s">
        <v>106</v>
      </c>
      <c r="B16" s="35"/>
      <c r="C16" s="35"/>
      <c r="D16" s="35"/>
      <c r="E16" s="35" t="s">
        <v>107</v>
      </c>
      <c r="F16" s="35"/>
      <c r="G16" s="35"/>
      <c r="H16" s="35"/>
    </row>
    <row r="17" spans="1:10" x14ac:dyDescent="0.35">
      <c r="A17" s="23" t="str">
        <f>IF(WEEKDAY(B17,1)=1,"Zondag",IF(WEEKDAY(B17,1)=2,"Maandag",IF(WEEKDAY(B17,1)=3,"Dinsdag",IF(WEEKDAY(B17,1)=4,"Woensdag",IF(WEEKDAY(B17,1)=5,"Donderdag",IF(WEEKDAY(B17,1)=6,"Vrijdag","Zaterdag"))))))</f>
        <v>Donderdag</v>
      </c>
      <c r="B17" s="24">
        <f>B15+1</f>
        <v>45435</v>
      </c>
      <c r="C17" s="25" t="s">
        <v>20</v>
      </c>
      <c r="D17" s="26">
        <v>0.33333333333333331</v>
      </c>
      <c r="E17" s="23" t="str">
        <f>IF(WEEKDAY(F17,1)=1,"Zondag",IF(WEEKDAY(F17,1)=2,"Maandag",IF(WEEKDAY(F17,1)=3,"Dinsdag",IF(WEEKDAY(F17,1)=4,"Woensdag",IF(WEEKDAY(F17,1)=5,"Donderdag",IF(WEEKDAY(F17,1)=6,"Vrijdag","Zaterdag"))))))</f>
        <v>Donderdag</v>
      </c>
      <c r="F17" s="24">
        <f>F15+1</f>
        <v>45442</v>
      </c>
      <c r="G17" s="25" t="s">
        <v>20</v>
      </c>
      <c r="H17" s="26">
        <v>0</v>
      </c>
    </row>
    <row r="18" spans="1:10" ht="99.75" customHeight="1" x14ac:dyDescent="0.35">
      <c r="A18" s="35" t="s">
        <v>108</v>
      </c>
      <c r="B18" s="35"/>
      <c r="C18" s="35"/>
      <c r="D18" s="35"/>
      <c r="E18" s="35" t="s">
        <v>107</v>
      </c>
      <c r="F18" s="35"/>
      <c r="G18" s="35"/>
      <c r="H18" s="35"/>
    </row>
    <row r="19" spans="1:10" x14ac:dyDescent="0.35">
      <c r="A19" s="23" t="str">
        <f>IF(WEEKDAY(B19,1)=1,"Zondag",IF(WEEKDAY(B19,1)=2,"Maandag",IF(WEEKDAY(B19,1)=3,"Dinsdag",IF(WEEKDAY(B19,1)=4,"Woensdag",IF(WEEKDAY(B19,1)=5,"Donderdag",IF(WEEKDAY(B19,1)=6,"Vrijdag","Zaterdag"))))))</f>
        <v>Vrijdag</v>
      </c>
      <c r="B19" s="24">
        <f>B17+1</f>
        <v>45436</v>
      </c>
      <c r="C19" s="25" t="s">
        <v>20</v>
      </c>
      <c r="D19" s="26">
        <v>0.33333333333333331</v>
      </c>
      <c r="E19" s="23" t="str">
        <f>IF(WEEKDAY(F19,1)=1,"Zondag",IF(WEEKDAY(F19,1)=2,"Maandag",IF(WEEKDAY(F19,1)=3,"Dinsdag",IF(WEEKDAY(F19,1)=4,"Woensdag",IF(WEEKDAY(F19,1)=5,"Donderdag",IF(WEEKDAY(F19,1)=6,"Vrijdag","Zaterdag"))))))</f>
        <v>Vrijdag</v>
      </c>
      <c r="F19" s="24">
        <f>F17+1</f>
        <v>45443</v>
      </c>
      <c r="G19" s="25" t="s">
        <v>20</v>
      </c>
      <c r="H19" s="26">
        <v>0</v>
      </c>
    </row>
    <row r="20" spans="1:10" ht="99.75" customHeight="1" x14ac:dyDescent="0.35">
      <c r="A20" s="35" t="s">
        <v>109</v>
      </c>
      <c r="B20" s="35"/>
      <c r="C20" s="35"/>
      <c r="D20" s="35"/>
      <c r="E20" s="49" t="s">
        <v>107</v>
      </c>
      <c r="F20" s="49"/>
      <c r="G20" s="49"/>
      <c r="H20" s="49"/>
    </row>
    <row r="21" spans="1:10" x14ac:dyDescent="0.35">
      <c r="A21" s="44" t="s">
        <v>21</v>
      </c>
      <c r="B21" s="44"/>
      <c r="C21" s="44"/>
      <c r="D21" s="27">
        <f>D11+D13+D15+D17+D19+H11+H13+H15+H17+H19</f>
        <v>1.3333333333333333</v>
      </c>
      <c r="E21" s="44" t="s">
        <v>22</v>
      </c>
      <c r="F21" s="44"/>
      <c r="G21" s="44"/>
      <c r="H21" s="27">
        <f>D21+'Werkstaat 7'!H21</f>
        <v>21.645833333333336</v>
      </c>
      <c r="J21" s="33"/>
    </row>
    <row r="22" spans="1:10" x14ac:dyDescent="0.35">
      <c r="A22" s="45" t="s">
        <v>23</v>
      </c>
      <c r="B22" s="45"/>
      <c r="C22" s="45"/>
      <c r="D22" s="16">
        <f>IF(D11&gt;0,1,0)+IF(D13&gt;0,1,0)+IF(D15&gt;0,1,0)+IF(D17&gt;0,1,0)+IF(D19&gt;0,1,0)+IF(H11&gt;0,1,0)+IF(H13&gt;0,1,0)+IF(H15&gt;0,1,0)+IF(H17&gt;0,1,0)+IF(H19&gt;0,1,0)</f>
        <v>4</v>
      </c>
      <c r="E22" s="45" t="s">
        <v>24</v>
      </c>
      <c r="F22" s="45"/>
      <c r="G22" s="45"/>
      <c r="H22" s="16">
        <f>D22+'Werkstaat 7'!H22</f>
        <v>66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7'!H23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7'!H24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pageSetUpPr fitToPage="1"/>
  </sheetPr>
  <dimension ref="A1:L31"/>
  <sheetViews>
    <sheetView topLeftCell="A3" workbookViewId="0">
      <selection activeCell="E20" sqref="E20:H20"/>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9</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45467</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45446</v>
      </c>
      <c r="C11" s="25" t="s">
        <v>20</v>
      </c>
      <c r="D11" s="26">
        <v>0.33333333333333331</v>
      </c>
      <c r="E11" s="23" t="str">
        <f>IF(WEEKDAY(F11,1)=1,"Zondag",IF(WEEKDAY(F11,1)=2,"Maandag",IF(WEEKDAY(F11,1)=3,"Dinsdag",IF(WEEKDAY(F11,1)=4,"Woensdag",IF(WEEKDAY(F11,1)=5,"Donderdag",IF(WEEKDAY(F11,1)=6,"Vrijdag","Zaterdag"))))))</f>
        <v>Maandag</v>
      </c>
      <c r="F11" s="24">
        <f>B11+7</f>
        <v>45453</v>
      </c>
      <c r="G11" s="25" t="s">
        <v>20</v>
      </c>
      <c r="H11" s="26">
        <v>0.33333333333333331</v>
      </c>
    </row>
    <row r="12" spans="1:12" ht="99.75" customHeight="1" x14ac:dyDescent="0.35">
      <c r="A12" s="34" t="s">
        <v>110</v>
      </c>
      <c r="B12" s="34"/>
      <c r="C12" s="34"/>
      <c r="D12" s="34"/>
      <c r="E12" s="35" t="s">
        <v>115</v>
      </c>
      <c r="F12" s="35"/>
      <c r="G12" s="35"/>
      <c r="H12" s="35"/>
    </row>
    <row r="13" spans="1:12" x14ac:dyDescent="0.35">
      <c r="A13" s="23" t="str">
        <f>IF(WEEKDAY(B13,1)=1,"Zondag",IF(WEEKDAY(B13,1)=2,"Maandag",IF(WEEKDAY(B13,1)=3,"Dinsdag",IF(WEEKDAY(B13,1)=4,"Woensdag",IF(WEEKDAY(B13,1)=5,"Donderdag",IF(WEEKDAY(B13,1)=6,"Vrijdag","Zaterdag"))))))</f>
        <v>Dinsdag</v>
      </c>
      <c r="B13" s="24">
        <f>B11+1</f>
        <v>45447</v>
      </c>
      <c r="C13" s="25" t="s">
        <v>20</v>
      </c>
      <c r="D13" s="26">
        <v>0.33333333333333331</v>
      </c>
      <c r="E13" s="23" t="str">
        <f>IF(WEEKDAY(F13,1)=1,"Zondag",IF(WEEKDAY(F13,1)=2,"Maandag",IF(WEEKDAY(F13,1)=3,"Dinsdag",IF(WEEKDAY(F13,1)=4,"Woensdag",IF(WEEKDAY(F13,1)=5,"Donderdag",IF(WEEKDAY(F13,1)=6,"Vrijdag","Zaterdag"))))))</f>
        <v>Dinsdag</v>
      </c>
      <c r="F13" s="24">
        <f>F11+1</f>
        <v>45454</v>
      </c>
      <c r="G13" s="25" t="s">
        <v>20</v>
      </c>
      <c r="H13" s="26">
        <v>0.33333333333333331</v>
      </c>
    </row>
    <row r="14" spans="1:12" ht="99.75" customHeight="1" x14ac:dyDescent="0.35">
      <c r="A14" s="35" t="s">
        <v>111</v>
      </c>
      <c r="B14" s="35"/>
      <c r="C14" s="35"/>
      <c r="D14" s="35"/>
      <c r="E14" s="35" t="s">
        <v>116</v>
      </c>
      <c r="F14" s="35"/>
      <c r="G14" s="35"/>
      <c r="H14" s="35"/>
    </row>
    <row r="15" spans="1:12" x14ac:dyDescent="0.35">
      <c r="A15" s="23" t="str">
        <f>IF(WEEKDAY(B15,1)=1,"Zondag",IF(WEEKDAY(B15,1)=2,"Maandag",IF(WEEKDAY(B15,1)=3,"Dinsdag",IF(WEEKDAY(B15,1)=4,"Woensdag",IF(WEEKDAY(B15,1)=5,"Donderdag",IF(WEEKDAY(B15,1)=6,"Vrijdag","Zaterdag"))))))</f>
        <v>Woensdag</v>
      </c>
      <c r="B15" s="24">
        <f>B13+1</f>
        <v>45448</v>
      </c>
      <c r="C15" s="25" t="s">
        <v>20</v>
      </c>
      <c r="D15" s="26">
        <v>0.33333333333333331</v>
      </c>
      <c r="E15" s="23" t="str">
        <f>IF(WEEKDAY(F15,1)=1,"Zondag",IF(WEEKDAY(F15,1)=2,"Maandag",IF(WEEKDAY(F15,1)=3,"Dinsdag",IF(WEEKDAY(F15,1)=4,"Woensdag",IF(WEEKDAY(F15,1)=5,"Donderdag",IF(WEEKDAY(F15,1)=6,"Vrijdag","Zaterdag"))))))</f>
        <v>Woensdag</v>
      </c>
      <c r="F15" s="24">
        <f>F13+1</f>
        <v>45455</v>
      </c>
      <c r="G15" s="25" t="s">
        <v>20</v>
      </c>
      <c r="H15" s="26">
        <v>0.33333333333333331</v>
      </c>
    </row>
    <row r="16" spans="1:12" ht="99.75" customHeight="1" x14ac:dyDescent="0.35">
      <c r="A16" s="35" t="s">
        <v>112</v>
      </c>
      <c r="B16" s="35"/>
      <c r="C16" s="35"/>
      <c r="D16" s="35"/>
      <c r="E16" s="35" t="s">
        <v>117</v>
      </c>
      <c r="F16" s="35"/>
      <c r="G16" s="35"/>
      <c r="H16" s="35"/>
    </row>
    <row r="17" spans="1:10" x14ac:dyDescent="0.35">
      <c r="A17" s="23" t="str">
        <f>IF(WEEKDAY(B17,1)=1,"Zondag",IF(WEEKDAY(B17,1)=2,"Maandag",IF(WEEKDAY(B17,1)=3,"Dinsdag",IF(WEEKDAY(B17,1)=4,"Woensdag",IF(WEEKDAY(B17,1)=5,"Donderdag",IF(WEEKDAY(B17,1)=6,"Vrijdag","Zaterdag"))))))</f>
        <v>Donderdag</v>
      </c>
      <c r="B17" s="24">
        <f>B15+1</f>
        <v>45449</v>
      </c>
      <c r="C17" s="25" t="s">
        <v>20</v>
      </c>
      <c r="D17" s="26">
        <v>0.33333333333333331</v>
      </c>
      <c r="E17" s="23" t="str">
        <f>IF(WEEKDAY(F17,1)=1,"Zondag",IF(WEEKDAY(F17,1)=2,"Maandag",IF(WEEKDAY(F17,1)=3,"Dinsdag",IF(WEEKDAY(F17,1)=4,"Woensdag",IF(WEEKDAY(F17,1)=5,"Donderdag",IF(WEEKDAY(F17,1)=6,"Vrijdag","Zaterdag"))))))</f>
        <v>Donderdag</v>
      </c>
      <c r="F17" s="24">
        <f>F15+1</f>
        <v>45456</v>
      </c>
      <c r="G17" s="25" t="s">
        <v>20</v>
      </c>
      <c r="H17" s="26">
        <v>0.33333333333333331</v>
      </c>
    </row>
    <row r="18" spans="1:10" ht="99.75" customHeight="1" x14ac:dyDescent="0.35">
      <c r="A18" s="35" t="s">
        <v>113</v>
      </c>
      <c r="B18" s="35"/>
      <c r="C18" s="35"/>
      <c r="D18" s="35"/>
      <c r="E18" s="35" t="s">
        <v>118</v>
      </c>
      <c r="F18" s="35"/>
      <c r="G18" s="35"/>
      <c r="H18" s="35"/>
    </row>
    <row r="19" spans="1:10" x14ac:dyDescent="0.35">
      <c r="A19" s="23" t="str">
        <f>IF(WEEKDAY(B19,1)=1,"Zondag",IF(WEEKDAY(B19,1)=2,"Maandag",IF(WEEKDAY(B19,1)=3,"Dinsdag",IF(WEEKDAY(B19,1)=4,"Woensdag",IF(WEEKDAY(B19,1)=5,"Donderdag",IF(WEEKDAY(B19,1)=6,"Vrijdag","Zaterdag"))))))</f>
        <v>Vrijdag</v>
      </c>
      <c r="B19" s="24">
        <f>B17+1</f>
        <v>45450</v>
      </c>
      <c r="C19" s="25" t="s">
        <v>20</v>
      </c>
      <c r="D19" s="26">
        <v>0.33333333333333331</v>
      </c>
      <c r="E19" s="23" t="str">
        <f>IF(WEEKDAY(F19,1)=1,"Zondag",IF(WEEKDAY(F19,1)=2,"Maandag",IF(WEEKDAY(F19,1)=3,"Dinsdag",IF(WEEKDAY(F19,1)=4,"Woensdag",IF(WEEKDAY(F19,1)=5,"Donderdag",IF(WEEKDAY(F19,1)=6,"Vrijdag","Zaterdag"))))))</f>
        <v>Vrijdag</v>
      </c>
      <c r="F19" s="24">
        <f>F17+1</f>
        <v>45457</v>
      </c>
      <c r="G19" s="25" t="s">
        <v>20</v>
      </c>
      <c r="H19" s="26">
        <v>0.33333333333333331</v>
      </c>
    </row>
    <row r="20" spans="1:10" ht="99.75" customHeight="1" x14ac:dyDescent="0.35">
      <c r="A20" s="35" t="s">
        <v>114</v>
      </c>
      <c r="B20" s="35"/>
      <c r="C20" s="35"/>
      <c r="D20" s="35"/>
      <c r="E20" s="49" t="s">
        <v>119</v>
      </c>
      <c r="F20" s="49"/>
      <c r="G20" s="49"/>
      <c r="H20" s="49"/>
    </row>
    <row r="21" spans="1:10" x14ac:dyDescent="0.35">
      <c r="A21" s="44" t="s">
        <v>21</v>
      </c>
      <c r="B21" s="44"/>
      <c r="C21" s="44"/>
      <c r="D21" s="27">
        <f>D11+D13+D15+D17+D19+H11+H13+H15+H17+H19</f>
        <v>3.3333333333333335</v>
      </c>
      <c r="E21" s="44" t="s">
        <v>22</v>
      </c>
      <c r="F21" s="44"/>
      <c r="G21" s="44"/>
      <c r="H21" s="27">
        <f>D21+'Werkstaat 8'!H21</f>
        <v>24.979166666666668</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8'!H22</f>
        <v>76</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8'!H23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8'!H24</f>
        <v>2</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pageSetUpPr fitToPage="1"/>
  </sheetPr>
  <dimension ref="A1:L31"/>
  <sheetViews>
    <sheetView topLeftCell="A16" workbookViewId="0">
      <selection activeCell="E14" sqref="E14:H14"/>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10</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45481</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45460</v>
      </c>
      <c r="C11" s="25" t="s">
        <v>20</v>
      </c>
      <c r="D11" s="26">
        <v>0.33333333333333331</v>
      </c>
      <c r="E11" s="23" t="str">
        <f>IF(WEEKDAY(F11,1)=1,"Zondag",IF(WEEKDAY(F11,1)=2,"Maandag",IF(WEEKDAY(F11,1)=3,"Dinsdag",IF(WEEKDAY(F11,1)=4,"Woensdag",IF(WEEKDAY(F11,1)=5,"Donderdag",IF(WEEKDAY(F11,1)=6,"Vrijdag","Zaterdag"))))))</f>
        <v>Maandag</v>
      </c>
      <c r="F11" s="24">
        <f>B11+7</f>
        <v>45467</v>
      </c>
      <c r="G11" s="25" t="s">
        <v>20</v>
      </c>
      <c r="H11" s="26">
        <v>0.33333333333333331</v>
      </c>
    </row>
    <row r="12" spans="1:12" ht="99.75" customHeight="1" x14ac:dyDescent="0.35">
      <c r="A12" s="34" t="s">
        <v>120</v>
      </c>
      <c r="B12" s="34"/>
      <c r="C12" s="34"/>
      <c r="D12" s="34"/>
      <c r="E12" s="35" t="s">
        <v>130</v>
      </c>
      <c r="F12" s="35"/>
      <c r="G12" s="35"/>
      <c r="H12" s="35"/>
    </row>
    <row r="13" spans="1:12" x14ac:dyDescent="0.35">
      <c r="A13" s="23" t="str">
        <f>IF(WEEKDAY(B13,1)=1,"Zondag",IF(WEEKDAY(B13,1)=2,"Maandag",IF(WEEKDAY(B13,1)=3,"Dinsdag",IF(WEEKDAY(B13,1)=4,"Woensdag",IF(WEEKDAY(B13,1)=5,"Donderdag",IF(WEEKDAY(B13,1)=6,"Vrijdag","Zaterdag"))))))</f>
        <v>Dinsdag</v>
      </c>
      <c r="B13" s="24">
        <f>B11+1</f>
        <v>45461</v>
      </c>
      <c r="C13" s="25" t="s">
        <v>20</v>
      </c>
      <c r="D13" s="26">
        <v>0.33333333333333331</v>
      </c>
      <c r="E13" s="23" t="str">
        <f>IF(WEEKDAY(F13,1)=1,"Zondag",IF(WEEKDAY(F13,1)=2,"Maandag",IF(WEEKDAY(F13,1)=3,"Dinsdag",IF(WEEKDAY(F13,1)=4,"Woensdag",IF(WEEKDAY(F13,1)=5,"Donderdag",IF(WEEKDAY(F13,1)=6,"Vrijdag","Zaterdag"))))))</f>
        <v>Dinsdag</v>
      </c>
      <c r="F13" s="24">
        <f>F11+1</f>
        <v>45468</v>
      </c>
      <c r="G13" s="25" t="s">
        <v>20</v>
      </c>
      <c r="H13" s="26">
        <v>0.33333333333333331</v>
      </c>
    </row>
    <row r="14" spans="1:12" ht="99.75" customHeight="1" x14ac:dyDescent="0.35">
      <c r="A14" s="35" t="s">
        <v>126</v>
      </c>
      <c r="B14" s="35"/>
      <c r="C14" s="35"/>
      <c r="D14" s="35"/>
      <c r="E14" s="35" t="s">
        <v>131</v>
      </c>
      <c r="F14" s="35"/>
      <c r="G14" s="35"/>
      <c r="H14" s="35"/>
    </row>
    <row r="15" spans="1:12" x14ac:dyDescent="0.35">
      <c r="A15" s="23" t="str">
        <f>IF(WEEKDAY(B15,1)=1,"Zondag",IF(WEEKDAY(B15,1)=2,"Maandag",IF(WEEKDAY(B15,1)=3,"Dinsdag",IF(WEEKDAY(B15,1)=4,"Woensdag",IF(WEEKDAY(B15,1)=5,"Donderdag",IF(WEEKDAY(B15,1)=6,"Vrijdag","Zaterdag"))))))</f>
        <v>Woensdag</v>
      </c>
      <c r="B15" s="24">
        <f>B13+1</f>
        <v>45462</v>
      </c>
      <c r="C15" s="25" t="s">
        <v>20</v>
      </c>
      <c r="D15" s="26">
        <v>0.33333333333333331</v>
      </c>
      <c r="E15" s="23" t="str">
        <f>IF(WEEKDAY(F15,1)=1,"Zondag",IF(WEEKDAY(F15,1)=2,"Maandag",IF(WEEKDAY(F15,1)=3,"Dinsdag",IF(WEEKDAY(F15,1)=4,"Woensdag",IF(WEEKDAY(F15,1)=5,"Donderdag",IF(WEEKDAY(F15,1)=6,"Vrijdag","Zaterdag"))))))</f>
        <v>Woensdag</v>
      </c>
      <c r="F15" s="24">
        <f>F13+1</f>
        <v>45469</v>
      </c>
      <c r="G15" s="25" t="s">
        <v>20</v>
      </c>
      <c r="H15" s="26">
        <v>0</v>
      </c>
    </row>
    <row r="16" spans="1:12" ht="99.75" customHeight="1" x14ac:dyDescent="0.35">
      <c r="A16" s="35" t="s">
        <v>127</v>
      </c>
      <c r="B16" s="35"/>
      <c r="C16" s="35"/>
      <c r="D16" s="35"/>
      <c r="E16" s="35" t="s">
        <v>121</v>
      </c>
      <c r="F16" s="35"/>
      <c r="G16" s="35"/>
      <c r="H16" s="35"/>
    </row>
    <row r="17" spans="1:10" x14ac:dyDescent="0.35">
      <c r="A17" s="23" t="str">
        <f>IF(WEEKDAY(B17,1)=1,"Zondag",IF(WEEKDAY(B17,1)=2,"Maandag",IF(WEEKDAY(B17,1)=3,"Dinsdag",IF(WEEKDAY(B17,1)=4,"Woensdag",IF(WEEKDAY(B17,1)=5,"Donderdag",IF(WEEKDAY(B17,1)=6,"Vrijdag","Zaterdag"))))))</f>
        <v>Donderdag</v>
      </c>
      <c r="B17" s="24">
        <f>B15+1</f>
        <v>45463</v>
      </c>
      <c r="C17" s="25" t="s">
        <v>20</v>
      </c>
      <c r="D17" s="26">
        <v>0.33333333333333331</v>
      </c>
      <c r="E17" s="23" t="str">
        <f>IF(WEEKDAY(F17,1)=1,"Zondag",IF(WEEKDAY(F17,1)=2,"Maandag",IF(WEEKDAY(F17,1)=3,"Dinsdag",IF(WEEKDAY(F17,1)=4,"Woensdag",IF(WEEKDAY(F17,1)=5,"Donderdag",IF(WEEKDAY(F17,1)=6,"Vrijdag","Zaterdag"))))))</f>
        <v>Donderdag</v>
      </c>
      <c r="F17" s="24">
        <f>F15+1</f>
        <v>45470</v>
      </c>
      <c r="G17" s="25" t="s">
        <v>20</v>
      </c>
      <c r="H17" s="26">
        <v>0</v>
      </c>
    </row>
    <row r="18" spans="1:10" ht="99.75" customHeight="1" x14ac:dyDescent="0.35">
      <c r="A18" s="35" t="s">
        <v>128</v>
      </c>
      <c r="B18" s="35"/>
      <c r="C18" s="35"/>
      <c r="D18" s="35"/>
      <c r="E18" s="35" t="s">
        <v>121</v>
      </c>
      <c r="F18" s="35"/>
      <c r="G18" s="35"/>
      <c r="H18" s="35"/>
    </row>
    <row r="19" spans="1:10" x14ac:dyDescent="0.35">
      <c r="A19" s="23" t="str">
        <f>IF(WEEKDAY(B19,1)=1,"Zondag",IF(WEEKDAY(B19,1)=2,"Maandag",IF(WEEKDAY(B19,1)=3,"Dinsdag",IF(WEEKDAY(B19,1)=4,"Woensdag",IF(WEEKDAY(B19,1)=5,"Donderdag",IF(WEEKDAY(B19,1)=6,"Vrijdag","Zaterdag"))))))</f>
        <v>Vrijdag</v>
      </c>
      <c r="B19" s="24">
        <f>B17+1</f>
        <v>45464</v>
      </c>
      <c r="C19" s="25" t="s">
        <v>20</v>
      </c>
      <c r="D19" s="26">
        <v>0.33333333333333331</v>
      </c>
      <c r="E19" s="23" t="str">
        <f>IF(WEEKDAY(F19,1)=1,"Zondag",IF(WEEKDAY(F19,1)=2,"Maandag",IF(WEEKDAY(F19,1)=3,"Dinsdag",IF(WEEKDAY(F19,1)=4,"Woensdag",IF(WEEKDAY(F19,1)=5,"Donderdag",IF(WEEKDAY(F19,1)=6,"Vrijdag","Zaterdag"))))))</f>
        <v>Vrijdag</v>
      </c>
      <c r="F19" s="24">
        <f>F17+1</f>
        <v>45471</v>
      </c>
      <c r="G19" s="25" t="s">
        <v>20</v>
      </c>
      <c r="H19" s="26">
        <v>0</v>
      </c>
    </row>
    <row r="20" spans="1:10" ht="99.75" customHeight="1" x14ac:dyDescent="0.35">
      <c r="A20" s="35" t="s">
        <v>129</v>
      </c>
      <c r="B20" s="35"/>
      <c r="C20" s="35"/>
      <c r="D20" s="35"/>
      <c r="E20" s="49" t="s">
        <v>121</v>
      </c>
      <c r="F20" s="49"/>
      <c r="G20" s="49"/>
      <c r="H20" s="49"/>
    </row>
    <row r="21" spans="1:10" x14ac:dyDescent="0.35">
      <c r="A21" s="44" t="s">
        <v>21</v>
      </c>
      <c r="B21" s="44"/>
      <c r="C21" s="44"/>
      <c r="D21" s="27">
        <f>D11+D13+D15+D17+D19+H11+H13+H15+H17+H19</f>
        <v>2.333333333333333</v>
      </c>
      <c r="E21" s="44" t="s">
        <v>22</v>
      </c>
      <c r="F21" s="44"/>
      <c r="G21" s="44"/>
      <c r="H21" s="27">
        <f>D21+'Werkstaat 9'!H21</f>
        <v>27.3125</v>
      </c>
      <c r="J21" s="33"/>
    </row>
    <row r="22" spans="1:10" x14ac:dyDescent="0.35">
      <c r="A22" s="45" t="s">
        <v>23</v>
      </c>
      <c r="B22" s="45"/>
      <c r="C22" s="45"/>
      <c r="D22" s="16">
        <f>IF(D11&gt;0,1,0)+IF(D13&gt;0,1,0)+IF(D15&gt;0,1,0)+IF(D17&gt;0,1,0)+IF(D19&gt;0,1,0)+IF(H11&gt;0,1,0)+IF(H13&gt;0,1,0)+IF(H15&gt;0,1,0)+IF(H17&gt;0,1,0)+IF(H19&gt;0,1,0)</f>
        <v>7</v>
      </c>
      <c r="E22" s="45" t="s">
        <v>24</v>
      </c>
      <c r="F22" s="45"/>
      <c r="G22" s="45"/>
      <c r="H22" s="16">
        <f>D22+'Werkstaat 9'!H22</f>
        <v>83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9'!H23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3</v>
      </c>
      <c r="E24" s="47" t="s">
        <v>28</v>
      </c>
      <c r="F24" s="47"/>
      <c r="G24" s="47"/>
      <c r="H24" s="18">
        <f>D24+'Werkstaat 9'!H24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pageSetUpPr fitToPage="1"/>
  </sheetPr>
  <dimension ref="A1:L31"/>
  <sheetViews>
    <sheetView tabSelected="1" topLeftCell="A4" workbookViewId="0">
      <selection activeCell="E18" sqref="E18:H18"/>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11</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45495</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45474</v>
      </c>
      <c r="C11" s="25" t="s">
        <v>20</v>
      </c>
      <c r="D11" s="26">
        <v>0.33333333333333331</v>
      </c>
      <c r="E11" s="23" t="str">
        <f>IF(WEEKDAY(F11,1)=1,"Zondag",IF(WEEKDAY(F11,1)=2,"Maandag",IF(WEEKDAY(F11,1)=3,"Dinsdag",IF(WEEKDAY(F11,1)=4,"Woensdag",IF(WEEKDAY(F11,1)=5,"Donderdag",IF(WEEKDAY(F11,1)=6,"Vrijdag","Zaterdag"))))))</f>
        <v>Maandag</v>
      </c>
      <c r="F11" s="24">
        <f>B11+7</f>
        <v>45481</v>
      </c>
      <c r="G11" s="25" t="s">
        <v>20</v>
      </c>
      <c r="H11" s="26">
        <v>0.33333333333333331</v>
      </c>
    </row>
    <row r="12" spans="1:12" ht="99.75" customHeight="1" x14ac:dyDescent="0.35">
      <c r="A12" s="34" t="s">
        <v>132</v>
      </c>
      <c r="B12" s="34"/>
      <c r="C12" s="34"/>
      <c r="D12" s="34"/>
      <c r="E12" s="35" t="s">
        <v>137</v>
      </c>
      <c r="F12" s="35"/>
      <c r="G12" s="35"/>
      <c r="H12" s="35"/>
    </row>
    <row r="13" spans="1:12" x14ac:dyDescent="0.35">
      <c r="A13" s="23" t="str">
        <f>IF(WEEKDAY(B13,1)=1,"Zondag",IF(WEEKDAY(B13,1)=2,"Maandag",IF(WEEKDAY(B13,1)=3,"Dinsdag",IF(WEEKDAY(B13,1)=4,"Woensdag",IF(WEEKDAY(B13,1)=5,"Donderdag",IF(WEEKDAY(B13,1)=6,"Vrijdag","Zaterdag"))))))</f>
        <v>Dinsdag</v>
      </c>
      <c r="B13" s="24">
        <f>B11+1</f>
        <v>45475</v>
      </c>
      <c r="C13" s="25" t="s">
        <v>20</v>
      </c>
      <c r="D13" s="26">
        <v>0.33333333333333331</v>
      </c>
      <c r="E13" s="23" t="str">
        <f>IF(WEEKDAY(F13,1)=1,"Zondag",IF(WEEKDAY(F13,1)=2,"Maandag",IF(WEEKDAY(F13,1)=3,"Dinsdag",IF(WEEKDAY(F13,1)=4,"Woensdag",IF(WEEKDAY(F13,1)=5,"Donderdag",IF(WEEKDAY(F13,1)=6,"Vrijdag","Zaterdag"))))))</f>
        <v>Dinsdag</v>
      </c>
      <c r="F13" s="24">
        <f>F11+1</f>
        <v>45482</v>
      </c>
      <c r="G13" s="25" t="s">
        <v>20</v>
      </c>
      <c r="H13" s="26">
        <v>0.33333333333333331</v>
      </c>
    </row>
    <row r="14" spans="1:12" ht="99.75" customHeight="1" x14ac:dyDescent="0.35">
      <c r="A14" s="35" t="s">
        <v>133</v>
      </c>
      <c r="B14" s="35"/>
      <c r="C14" s="35"/>
      <c r="D14" s="35"/>
      <c r="E14" s="35" t="s">
        <v>138</v>
      </c>
      <c r="F14" s="35"/>
      <c r="G14" s="35"/>
      <c r="H14" s="35"/>
    </row>
    <row r="15" spans="1:12" x14ac:dyDescent="0.35">
      <c r="A15" s="23" t="str">
        <f>IF(WEEKDAY(B15,1)=1,"Zondag",IF(WEEKDAY(B15,1)=2,"Maandag",IF(WEEKDAY(B15,1)=3,"Dinsdag",IF(WEEKDAY(B15,1)=4,"Woensdag",IF(WEEKDAY(B15,1)=5,"Donderdag",IF(WEEKDAY(B15,1)=6,"Vrijdag","Zaterdag"))))))</f>
        <v>Woensdag</v>
      </c>
      <c r="B15" s="24">
        <f>B13+1</f>
        <v>45476</v>
      </c>
      <c r="C15" s="25" t="s">
        <v>20</v>
      </c>
      <c r="D15" s="26">
        <v>0.33333333333333331</v>
      </c>
      <c r="E15" s="23" t="str">
        <f>IF(WEEKDAY(F15,1)=1,"Zondag",IF(WEEKDAY(F15,1)=2,"Maandag",IF(WEEKDAY(F15,1)=3,"Dinsdag",IF(WEEKDAY(F15,1)=4,"Woensdag",IF(WEEKDAY(F15,1)=5,"Donderdag",IF(WEEKDAY(F15,1)=6,"Vrijdag","Zaterdag"))))))</f>
        <v>Woensdag</v>
      </c>
      <c r="F15" s="24">
        <f>F13+1</f>
        <v>45483</v>
      </c>
      <c r="G15" s="25" t="s">
        <v>20</v>
      </c>
      <c r="H15" s="26">
        <v>0.33333333333333331</v>
      </c>
    </row>
    <row r="16" spans="1:12" ht="99.75" customHeight="1" x14ac:dyDescent="0.35">
      <c r="A16" s="35" t="s">
        <v>134</v>
      </c>
      <c r="B16" s="35"/>
      <c r="C16" s="35"/>
      <c r="D16" s="35"/>
      <c r="E16" s="35" t="s">
        <v>139</v>
      </c>
      <c r="F16" s="35"/>
      <c r="G16" s="35"/>
      <c r="H16" s="35"/>
    </row>
    <row r="17" spans="1:10" x14ac:dyDescent="0.35">
      <c r="A17" s="23" t="str">
        <f>IF(WEEKDAY(B17,1)=1,"Zondag",IF(WEEKDAY(B17,1)=2,"Maandag",IF(WEEKDAY(B17,1)=3,"Dinsdag",IF(WEEKDAY(B17,1)=4,"Woensdag",IF(WEEKDAY(B17,1)=5,"Donderdag",IF(WEEKDAY(B17,1)=6,"Vrijdag","Zaterdag"))))))</f>
        <v>Donderdag</v>
      </c>
      <c r="B17" s="24">
        <f>B15+1</f>
        <v>45477</v>
      </c>
      <c r="C17" s="25" t="s">
        <v>20</v>
      </c>
      <c r="D17" s="26">
        <v>0.33333333333333331</v>
      </c>
      <c r="E17" s="23" t="str">
        <f>IF(WEEKDAY(F17,1)=1,"Zondag",IF(WEEKDAY(F17,1)=2,"Maandag",IF(WEEKDAY(F17,1)=3,"Dinsdag",IF(WEEKDAY(F17,1)=4,"Woensdag",IF(WEEKDAY(F17,1)=5,"Donderdag",IF(WEEKDAY(F17,1)=6,"Vrijdag","Zaterdag"))))))</f>
        <v>Donderdag</v>
      </c>
      <c r="F17" s="24">
        <f>F15+1</f>
        <v>45484</v>
      </c>
      <c r="G17" s="25" t="s">
        <v>20</v>
      </c>
      <c r="H17" s="26">
        <v>0.33333333333333331</v>
      </c>
    </row>
    <row r="18" spans="1:10" ht="99.75" customHeight="1" x14ac:dyDescent="0.35">
      <c r="A18" s="35" t="s">
        <v>135</v>
      </c>
      <c r="B18" s="35"/>
      <c r="C18" s="35"/>
      <c r="D18" s="35"/>
      <c r="E18" s="35" t="s">
        <v>140</v>
      </c>
      <c r="F18" s="35"/>
      <c r="G18" s="35"/>
      <c r="H18" s="35"/>
    </row>
    <row r="19" spans="1:10" x14ac:dyDescent="0.35">
      <c r="A19" s="23" t="str">
        <f>IF(WEEKDAY(B19,1)=1,"Zondag",IF(WEEKDAY(B19,1)=2,"Maandag",IF(WEEKDAY(B19,1)=3,"Dinsdag",IF(WEEKDAY(B19,1)=4,"Woensdag",IF(WEEKDAY(B19,1)=5,"Donderdag",IF(WEEKDAY(B19,1)=6,"Vrijdag","Zaterdag"))))))</f>
        <v>Vrijdag</v>
      </c>
      <c r="B19" s="24">
        <f>B17+1</f>
        <v>45478</v>
      </c>
      <c r="C19" s="25" t="s">
        <v>20</v>
      </c>
      <c r="D19" s="26">
        <v>0.33333333333333331</v>
      </c>
      <c r="E19" s="23" t="str">
        <f>IF(WEEKDAY(F19,1)=1,"Zondag",IF(WEEKDAY(F19,1)=2,"Maandag",IF(WEEKDAY(F19,1)=3,"Dinsdag",IF(WEEKDAY(F19,1)=4,"Woensdag",IF(WEEKDAY(F19,1)=5,"Donderdag",IF(WEEKDAY(F19,1)=6,"Vrijdag","Zaterdag"))))))</f>
        <v>Vrijdag</v>
      </c>
      <c r="F19" s="24">
        <f>F17+1</f>
        <v>45485</v>
      </c>
      <c r="G19" s="25" t="s">
        <v>20</v>
      </c>
      <c r="H19" s="26">
        <v>0.33333333333333331</v>
      </c>
    </row>
    <row r="20" spans="1:10" ht="99.75" customHeight="1" x14ac:dyDescent="0.35">
      <c r="A20" s="35" t="s">
        <v>136</v>
      </c>
      <c r="B20" s="35"/>
      <c r="C20" s="35"/>
      <c r="D20" s="35"/>
      <c r="E20" s="49"/>
      <c r="F20" s="49"/>
      <c r="G20" s="49"/>
      <c r="H20" s="49"/>
    </row>
    <row r="21" spans="1:10" x14ac:dyDescent="0.35">
      <c r="A21" s="44" t="s">
        <v>21</v>
      </c>
      <c r="B21" s="44"/>
      <c r="C21" s="44"/>
      <c r="D21" s="27">
        <f>D11+D13+D15+D17+D19+H11+H13+H15+H17+H19</f>
        <v>3.3333333333333335</v>
      </c>
      <c r="E21" s="44" t="s">
        <v>22</v>
      </c>
      <c r="F21" s="44"/>
      <c r="G21" s="44"/>
      <c r="H21" s="27">
        <f>D21+'Werkstaat 10'!H21</f>
        <v>30.645833333333332</v>
      </c>
      <c r="J21" s="33"/>
    </row>
    <row r="22" spans="1:10" x14ac:dyDescent="0.35">
      <c r="A22" s="45" t="s">
        <v>23</v>
      </c>
      <c r="B22" s="45"/>
      <c r="C22" s="45"/>
      <c r="D22" s="16">
        <f>IF(D11&gt;0,1,0)+IF(D13&gt;0,1,0)+IF(D15&gt;0,1,0)+IF(D17&gt;0,1,0)+IF(D19&gt;0,1,0)+IF(H11&gt;0,1,0)+IF(H13&gt;0,1,0)+IF(H15&gt;0,1,0)+IF(H17&gt;0,1,0)+IF(H19&gt;0,1,0)</f>
        <v>10</v>
      </c>
      <c r="E22" s="45" t="s">
        <v>24</v>
      </c>
      <c r="F22" s="45"/>
      <c r="G22" s="45"/>
      <c r="H22" s="16">
        <f>D22+'Werkstaat 10'!H22</f>
        <v>93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10'!H23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10'!H24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pageSetUpPr fitToPage="1"/>
  </sheetPr>
  <dimension ref="A1:L31"/>
  <sheetViews>
    <sheetView topLeftCell="A14" workbookViewId="0">
      <selection activeCell="D11" sqref="D11"/>
    </sheetView>
  </sheetViews>
  <sheetFormatPr defaultColWidth="9.1796875" defaultRowHeight="14.5" x14ac:dyDescent="0.35"/>
  <cols>
    <col min="1" max="1" width="15.453125" customWidth="1"/>
    <col min="2" max="2" width="13.453125" customWidth="1"/>
    <col min="3" max="3" width="16.26953125" customWidth="1"/>
    <col min="4" max="4" width="10.81640625" customWidth="1"/>
    <col min="5" max="5" width="15.453125" customWidth="1"/>
    <col min="6" max="6" width="13.453125" customWidth="1"/>
    <col min="7" max="7" width="16.26953125" customWidth="1"/>
  </cols>
  <sheetData>
    <row r="1" spans="1:12" ht="87.75" customHeight="1" x14ac:dyDescent="0.35">
      <c r="A1" s="5"/>
      <c r="B1" s="6"/>
      <c r="C1" s="6"/>
      <c r="D1" s="6"/>
      <c r="E1" s="36" t="s">
        <v>13</v>
      </c>
      <c r="F1" s="36"/>
      <c r="G1" s="36"/>
      <c r="H1" s="7">
        <v>12</v>
      </c>
      <c r="I1" s="8"/>
      <c r="J1" s="8"/>
      <c r="K1" s="8"/>
      <c r="L1" s="8"/>
    </row>
    <row r="2" spans="1:12" x14ac:dyDescent="0.35">
      <c r="A2" s="28"/>
      <c r="B2" s="29"/>
      <c r="C2" s="30" t="s">
        <v>14</v>
      </c>
      <c r="D2" s="30" t="s">
        <v>15</v>
      </c>
      <c r="E2" s="31">
        <f>B6</f>
        <v>45334</v>
      </c>
      <c r="F2" s="30" t="s">
        <v>16</v>
      </c>
      <c r="G2" s="31">
        <f>B7</f>
        <v>45480</v>
      </c>
      <c r="H2" s="32"/>
    </row>
    <row r="3" spans="1:12" x14ac:dyDescent="0.35">
      <c r="A3" s="15" t="s">
        <v>3</v>
      </c>
      <c r="B3" s="38" t="str">
        <f>IF(ISBLANK(Algemeen!B4),"",Algemeen!B4)</f>
        <v>Rick Ambergen</v>
      </c>
      <c r="C3" s="38"/>
      <c r="D3" s="38"/>
      <c r="E3" s="15" t="s">
        <v>8</v>
      </c>
      <c r="F3" s="38" t="str">
        <f>IF(ISBLANK(Algemeen!B7),"",Algemeen!B7)</f>
        <v>Provrex</v>
      </c>
      <c r="G3" s="38"/>
      <c r="H3" s="38"/>
    </row>
    <row r="4" spans="1:12" x14ac:dyDescent="0.35">
      <c r="A4" s="15" t="s">
        <v>5</v>
      </c>
      <c r="B4" s="38" t="str">
        <f>IF(ISBLANK(Algemeen!B5),"",Algemeen!B5)</f>
        <v>Software Developer</v>
      </c>
      <c r="C4" s="38"/>
      <c r="D4" s="38"/>
      <c r="E4" s="15" t="s">
        <v>9</v>
      </c>
      <c r="F4" s="38" t="str">
        <f>IF(ISBLANK(Algemeen!B8),"",Algemeen!B8)</f>
        <v>Emmen</v>
      </c>
      <c r="G4" s="38"/>
      <c r="H4" s="38"/>
    </row>
    <row r="5" spans="1:12" x14ac:dyDescent="0.35">
      <c r="A5" s="15" t="s">
        <v>7</v>
      </c>
      <c r="B5" s="38" t="str">
        <f>IF(ISBLANK(Algemeen!B6),"",Algemeen!B6)</f>
        <v>2023/2024</v>
      </c>
      <c r="C5" s="38"/>
      <c r="D5" s="38"/>
      <c r="E5" s="15" t="s">
        <v>10</v>
      </c>
      <c r="F5" s="38" t="str">
        <f>IF(ISBLANK(Algemeen!B9),"",Algemeen!B9)</f>
        <v>Jeremai</v>
      </c>
      <c r="G5" s="38"/>
      <c r="H5" s="38"/>
    </row>
    <row r="6" spans="1:12" x14ac:dyDescent="0.35">
      <c r="A6" s="15" t="s">
        <v>17</v>
      </c>
      <c r="B6" s="39">
        <f>IF(ISBLANK(Algemeen!D4),"",Algemeen!D4)</f>
        <v>45334</v>
      </c>
      <c r="C6" s="39"/>
      <c r="D6" s="39"/>
      <c r="E6" s="15" t="s">
        <v>11</v>
      </c>
      <c r="F6" s="38" t="str">
        <f>IF(ISBLANK(Algemeen!B10),"",Algemeen!B10)</f>
        <v>Software Developer</v>
      </c>
      <c r="G6" s="38"/>
      <c r="H6" s="38"/>
    </row>
    <row r="7" spans="1:12" x14ac:dyDescent="0.35">
      <c r="A7" s="17" t="s">
        <v>18</v>
      </c>
      <c r="B7" s="40">
        <f>IF(ISBLANK(Algemeen!D5),"",Algemeen!D5)</f>
        <v>45480</v>
      </c>
      <c r="C7" s="40"/>
      <c r="D7" s="40"/>
      <c r="E7" s="17" t="s">
        <v>12</v>
      </c>
      <c r="F7" s="41" t="str">
        <f>IF(ISBLANK(Algemeen!B11),"",Algemeen!B11)</f>
        <v>Dhr. A.J. Nieboer</v>
      </c>
      <c r="G7" s="41"/>
      <c r="H7" s="41"/>
    </row>
    <row r="8" spans="1:12" x14ac:dyDescent="0.35">
      <c r="A8" s="13"/>
      <c r="B8" s="19"/>
      <c r="C8" s="19"/>
      <c r="D8" s="19"/>
      <c r="E8" s="19"/>
      <c r="F8" s="19"/>
      <c r="G8" s="19"/>
      <c r="H8" s="14"/>
    </row>
    <row r="9" spans="1:12" x14ac:dyDescent="0.35">
      <c r="A9" s="15"/>
      <c r="C9" s="42" t="s">
        <v>19</v>
      </c>
      <c r="D9" s="42"/>
      <c r="E9" s="20">
        <f>F11+14</f>
        <v>45509</v>
      </c>
      <c r="H9" s="16"/>
    </row>
    <row r="10" spans="1:12" x14ac:dyDescent="0.35">
      <c r="A10" s="17"/>
      <c r="B10" s="21"/>
      <c r="C10" s="21"/>
      <c r="D10" s="21"/>
      <c r="E10" s="22"/>
      <c r="F10" s="21"/>
      <c r="G10" s="21"/>
      <c r="H10" s="18"/>
    </row>
    <row r="11" spans="1:12" x14ac:dyDescent="0.35">
      <c r="A11" s="23" t="str">
        <f>IF(WEEKDAY(B11,1)=1,"Zondag",IF(WEEKDAY(B11,1)=2,"Maandag",IF(WEEKDAY(B11,1)=3,"Dinsdag",IF(WEEKDAY(B11,1)=4,"Woensdag",IF(WEEKDAY(B11,1)=5,"Donderdag",IF(WEEKDAY(B11,1)=6,"Vrijdag","Zaterdag"))))))</f>
        <v>Maandag</v>
      </c>
      <c r="B11" s="24">
        <f>B6+(H1*14-14)</f>
        <v>45488</v>
      </c>
      <c r="C11" s="25" t="s">
        <v>20</v>
      </c>
      <c r="D11" s="26">
        <v>0</v>
      </c>
      <c r="E11" s="23" t="str">
        <f>IF(WEEKDAY(F11,1)=1,"Zondag",IF(WEEKDAY(F11,1)=2,"Maandag",IF(WEEKDAY(F11,1)=3,"Dinsdag",IF(WEEKDAY(F11,1)=4,"Woensdag",IF(WEEKDAY(F11,1)=5,"Donderdag",IF(WEEKDAY(F11,1)=6,"Vrijdag","Zaterdag"))))))</f>
        <v>Maandag</v>
      </c>
      <c r="F11" s="24">
        <f>B11+7</f>
        <v>45495</v>
      </c>
      <c r="G11" s="25" t="s">
        <v>20</v>
      </c>
      <c r="H11" s="26">
        <v>0</v>
      </c>
    </row>
    <row r="12" spans="1:12" ht="99.75" customHeight="1" x14ac:dyDescent="0.35">
      <c r="A12" s="34"/>
      <c r="B12" s="34"/>
      <c r="C12" s="34"/>
      <c r="D12" s="34"/>
      <c r="E12" s="35"/>
      <c r="F12" s="35"/>
      <c r="G12" s="35"/>
      <c r="H12" s="35"/>
    </row>
    <row r="13" spans="1:12" x14ac:dyDescent="0.35">
      <c r="A13" s="23" t="str">
        <f>IF(WEEKDAY(B13,1)=1,"Zondag",IF(WEEKDAY(B13,1)=2,"Maandag",IF(WEEKDAY(B13,1)=3,"Dinsdag",IF(WEEKDAY(B13,1)=4,"Woensdag",IF(WEEKDAY(B13,1)=5,"Donderdag",IF(WEEKDAY(B13,1)=6,"Vrijdag","Zaterdag"))))))</f>
        <v>Dinsdag</v>
      </c>
      <c r="B13" s="24">
        <f>B11+1</f>
        <v>45489</v>
      </c>
      <c r="C13" s="25" t="s">
        <v>20</v>
      </c>
      <c r="D13" s="26">
        <v>0</v>
      </c>
      <c r="E13" s="23" t="str">
        <f>IF(WEEKDAY(F13,1)=1,"Zondag",IF(WEEKDAY(F13,1)=2,"Maandag",IF(WEEKDAY(F13,1)=3,"Dinsdag",IF(WEEKDAY(F13,1)=4,"Woensdag",IF(WEEKDAY(F13,1)=5,"Donderdag",IF(WEEKDAY(F13,1)=6,"Vrijdag","Zaterdag"))))))</f>
        <v>Dinsdag</v>
      </c>
      <c r="F13" s="24">
        <f>F11+1</f>
        <v>45496</v>
      </c>
      <c r="G13" s="25" t="s">
        <v>20</v>
      </c>
      <c r="H13" s="26">
        <v>0</v>
      </c>
    </row>
    <row r="14" spans="1:12" ht="99.75" customHeight="1" x14ac:dyDescent="0.35">
      <c r="A14" s="35"/>
      <c r="B14" s="35"/>
      <c r="C14" s="35"/>
      <c r="D14" s="35"/>
      <c r="E14" s="35"/>
      <c r="F14" s="35"/>
      <c r="G14" s="35"/>
      <c r="H14" s="35"/>
    </row>
    <row r="15" spans="1:12" x14ac:dyDescent="0.35">
      <c r="A15" s="23" t="str">
        <f>IF(WEEKDAY(B15,1)=1,"Zondag",IF(WEEKDAY(B15,1)=2,"Maandag",IF(WEEKDAY(B15,1)=3,"Dinsdag",IF(WEEKDAY(B15,1)=4,"Woensdag",IF(WEEKDAY(B15,1)=5,"Donderdag",IF(WEEKDAY(B15,1)=6,"Vrijdag","Zaterdag"))))))</f>
        <v>Woensdag</v>
      </c>
      <c r="B15" s="24">
        <f>B13+1</f>
        <v>45490</v>
      </c>
      <c r="C15" s="25" t="s">
        <v>20</v>
      </c>
      <c r="D15" s="26">
        <v>0</v>
      </c>
      <c r="E15" s="23" t="str">
        <f>IF(WEEKDAY(F15,1)=1,"Zondag",IF(WEEKDAY(F15,1)=2,"Maandag",IF(WEEKDAY(F15,1)=3,"Dinsdag",IF(WEEKDAY(F15,1)=4,"Woensdag",IF(WEEKDAY(F15,1)=5,"Donderdag",IF(WEEKDAY(F15,1)=6,"Vrijdag","Zaterdag"))))))</f>
        <v>Woensdag</v>
      </c>
      <c r="F15" s="24">
        <f>F13+1</f>
        <v>45497</v>
      </c>
      <c r="G15" s="25" t="s">
        <v>20</v>
      </c>
      <c r="H15" s="26">
        <v>0</v>
      </c>
    </row>
    <row r="16" spans="1:12" ht="99.75" customHeight="1" x14ac:dyDescent="0.35">
      <c r="A16" s="35"/>
      <c r="B16" s="35"/>
      <c r="C16" s="35"/>
      <c r="D16" s="35"/>
      <c r="E16" s="35"/>
      <c r="F16" s="35"/>
      <c r="G16" s="35"/>
      <c r="H16" s="35"/>
    </row>
    <row r="17" spans="1:10" x14ac:dyDescent="0.35">
      <c r="A17" s="23" t="str">
        <f>IF(WEEKDAY(B17,1)=1,"Zondag",IF(WEEKDAY(B17,1)=2,"Maandag",IF(WEEKDAY(B17,1)=3,"Dinsdag",IF(WEEKDAY(B17,1)=4,"Woensdag",IF(WEEKDAY(B17,1)=5,"Donderdag",IF(WEEKDAY(B17,1)=6,"Vrijdag","Zaterdag"))))))</f>
        <v>Donderdag</v>
      </c>
      <c r="B17" s="24">
        <f>B15+1</f>
        <v>45491</v>
      </c>
      <c r="C17" s="25" t="s">
        <v>20</v>
      </c>
      <c r="D17" s="26">
        <v>0</v>
      </c>
      <c r="E17" s="23" t="str">
        <f>IF(WEEKDAY(F17,1)=1,"Zondag",IF(WEEKDAY(F17,1)=2,"Maandag",IF(WEEKDAY(F17,1)=3,"Dinsdag",IF(WEEKDAY(F17,1)=4,"Woensdag",IF(WEEKDAY(F17,1)=5,"Donderdag",IF(WEEKDAY(F17,1)=6,"Vrijdag","Zaterdag"))))))</f>
        <v>Donderdag</v>
      </c>
      <c r="F17" s="24">
        <f>F15+1</f>
        <v>45498</v>
      </c>
      <c r="G17" s="25" t="s">
        <v>20</v>
      </c>
      <c r="H17" s="26">
        <v>0</v>
      </c>
    </row>
    <row r="18" spans="1:10" ht="99.75" customHeight="1" x14ac:dyDescent="0.35">
      <c r="A18" s="35"/>
      <c r="B18" s="35"/>
      <c r="C18" s="35"/>
      <c r="D18" s="35"/>
      <c r="E18" s="35"/>
      <c r="F18" s="35"/>
      <c r="G18" s="35"/>
      <c r="H18" s="35"/>
    </row>
    <row r="19" spans="1:10" x14ac:dyDescent="0.35">
      <c r="A19" s="23" t="str">
        <f>IF(WEEKDAY(B19,1)=1,"Zondag",IF(WEEKDAY(B19,1)=2,"Maandag",IF(WEEKDAY(B19,1)=3,"Dinsdag",IF(WEEKDAY(B19,1)=4,"Woensdag",IF(WEEKDAY(B19,1)=5,"Donderdag",IF(WEEKDAY(B19,1)=6,"Vrijdag","Zaterdag"))))))</f>
        <v>Vrijdag</v>
      </c>
      <c r="B19" s="24">
        <f>B17+1</f>
        <v>45492</v>
      </c>
      <c r="C19" s="25" t="s">
        <v>20</v>
      </c>
      <c r="D19" s="26">
        <v>0</v>
      </c>
      <c r="E19" s="23" t="str">
        <f>IF(WEEKDAY(F19,1)=1,"Zondag",IF(WEEKDAY(F19,1)=2,"Maandag",IF(WEEKDAY(F19,1)=3,"Dinsdag",IF(WEEKDAY(F19,1)=4,"Woensdag",IF(WEEKDAY(F19,1)=5,"Donderdag",IF(WEEKDAY(F19,1)=6,"Vrijdag","Zaterdag"))))))</f>
        <v>Vrijdag</v>
      </c>
      <c r="F19" s="24">
        <f>F17+1</f>
        <v>45499</v>
      </c>
      <c r="G19" s="25" t="s">
        <v>20</v>
      </c>
      <c r="H19" s="26">
        <v>0</v>
      </c>
    </row>
    <row r="20" spans="1:10" ht="99.75" customHeight="1" x14ac:dyDescent="0.35">
      <c r="A20" s="35"/>
      <c r="B20" s="35"/>
      <c r="C20" s="35"/>
      <c r="D20" s="35"/>
      <c r="E20" s="49"/>
      <c r="F20" s="49"/>
      <c r="G20" s="49"/>
      <c r="H20" s="49"/>
    </row>
    <row r="21" spans="1:10" x14ac:dyDescent="0.35">
      <c r="A21" s="44" t="s">
        <v>21</v>
      </c>
      <c r="B21" s="44"/>
      <c r="C21" s="44"/>
      <c r="D21" s="27">
        <f>D11+D13+D15+D17+D19+H11+H13+H15+H17+H19</f>
        <v>0</v>
      </c>
      <c r="E21" s="44" t="s">
        <v>22</v>
      </c>
      <c r="F21" s="44"/>
      <c r="G21" s="44"/>
      <c r="H21" s="27">
        <f>D21+'Werkstaat 11'!H21</f>
        <v>30.645833333333332</v>
      </c>
      <c r="J21" s="33"/>
    </row>
    <row r="22" spans="1:10" x14ac:dyDescent="0.35">
      <c r="A22" s="45" t="s">
        <v>23</v>
      </c>
      <c r="B22" s="45"/>
      <c r="C22" s="45"/>
      <c r="D22" s="16">
        <f>IF(D11&gt;0,1,0)+IF(D13&gt;0,1,0)+IF(D15&gt;0,1,0)+IF(D17&gt;0,1,0)+IF(D19&gt;0,1,0)+IF(H11&gt;0,1,0)+IF(H13&gt;0,1,0)+IF(H15&gt;0,1,0)+IF(H17&gt;0,1,0)+IF(H19&gt;0,1,0)</f>
        <v>0</v>
      </c>
      <c r="E22" s="45" t="s">
        <v>24</v>
      </c>
      <c r="F22" s="45"/>
      <c r="G22" s="45"/>
      <c r="H22" s="16">
        <f>D22+'Werkstaat 11'!H22</f>
        <v>93</v>
      </c>
    </row>
    <row r="23" spans="1:10" x14ac:dyDescent="0.35">
      <c r="A23" s="45" t="s">
        <v>25</v>
      </c>
      <c r="B23" s="45"/>
      <c r="C23" s="45"/>
      <c r="D23" s="16">
        <f>IF(ISERR(SEARCH("verlof",A12)),0,1)+IF(ISERR(SEARCH("verlof",A14)),0,1)+IF(ISERR(SEARCH("verlof",A16)),0,1)+IF(ISERR(SEARCH("verlof",A18)),0,1)+IF(ISERR(SEARCH("verlof",A20)),0,1)+IF(ISERR(SEARCH("verlof",E12)),0,1)+IF(ISERR(SEARCH("verlof",E14)),0,1)+IF(ISERR(SEARCH("verlof",E16)),0,1)+IF(ISERR(SEARCH("verlof",E18)),0,1)+IF(ISERR(SEARCH("verlof",E20)),0,1)</f>
        <v>0</v>
      </c>
      <c r="E23" s="45" t="s">
        <v>26</v>
      </c>
      <c r="F23" s="45"/>
      <c r="G23" s="45"/>
      <c r="H23" s="16">
        <f>D23+'Werkstaat 11'!H23</f>
        <v>0</v>
      </c>
    </row>
    <row r="24" spans="1:10" x14ac:dyDescent="0.35">
      <c r="A24" s="47" t="s">
        <v>27</v>
      </c>
      <c r="B24" s="47"/>
      <c r="C24" s="47"/>
      <c r="D24" s="18">
        <f>IF(ISERR(SEARCH("ziek",A12)),0,1)+IF(ISERR(SEARCH("ziek",A14)),0,1)+IF(ISERR(SEARCH("ziek",A16)),0,1)+IF(ISERR(SEARCH("ziek",A18)),0,1)+IF(ISERR(SEARCH("ziek",A20)),0,1)+IF(ISERR(SEARCH("ziek",E12)),0,1)+IF(ISERR(SEARCH("ziek",E14)),0,1)+IF(ISERR(SEARCH("ziek",E16)),0,1)+IF(ISERR(SEARCH("ziek",E18)),0,1)+IF(ISERR(SEARCH("ziek",E20)),0,1)</f>
        <v>0</v>
      </c>
      <c r="E24" s="47" t="s">
        <v>28</v>
      </c>
      <c r="F24" s="47"/>
      <c r="G24" s="47"/>
      <c r="H24" s="18">
        <f>D24+'Werkstaat 11'!H24</f>
        <v>5</v>
      </c>
    </row>
    <row r="25" spans="1:10" x14ac:dyDescent="0.35">
      <c r="A25" s="13"/>
      <c r="B25" s="19"/>
      <c r="C25" s="19"/>
      <c r="D25" s="19"/>
      <c r="H25" s="16"/>
    </row>
    <row r="26" spans="1:10" x14ac:dyDescent="0.35">
      <c r="A26" s="15"/>
      <c r="H26" s="16"/>
    </row>
    <row r="27" spans="1:10" x14ac:dyDescent="0.35">
      <c r="A27" s="15" t="s">
        <v>29</v>
      </c>
      <c r="B27" s="48"/>
      <c r="C27" s="48"/>
      <c r="D27" s="48"/>
      <c r="E27" t="s">
        <v>11</v>
      </c>
      <c r="F27" s="46"/>
      <c r="G27" s="46"/>
      <c r="H27" s="46"/>
    </row>
    <row r="28" spans="1:10" x14ac:dyDescent="0.35">
      <c r="A28" s="45" t="s">
        <v>30</v>
      </c>
      <c r="B28" s="50"/>
      <c r="C28" s="50"/>
      <c r="D28" s="50"/>
      <c r="H28" s="16"/>
    </row>
    <row r="29" spans="1:10" x14ac:dyDescent="0.35">
      <c r="A29" s="45"/>
      <c r="B29" s="50"/>
      <c r="C29" s="50"/>
      <c r="D29" s="50"/>
      <c r="H29" s="16"/>
    </row>
    <row r="30" spans="1:10" x14ac:dyDescent="0.35">
      <c r="A30" s="45"/>
      <c r="B30" s="50"/>
      <c r="C30" s="50"/>
      <c r="D30" s="50"/>
      <c r="E30" t="s">
        <v>31</v>
      </c>
      <c r="F30" s="46"/>
      <c r="G30" s="46"/>
      <c r="H30" s="46"/>
    </row>
    <row r="31" spans="1:10" x14ac:dyDescent="0.35">
      <c r="A31" s="17"/>
      <c r="B31" s="21"/>
      <c r="C31" s="21"/>
      <c r="D31" s="21"/>
      <c r="E31" s="21"/>
      <c r="F31" s="21"/>
      <c r="G31" s="21"/>
      <c r="H31" s="18"/>
    </row>
  </sheetData>
  <sheetProtection sheet="1" selectLockedCells="1"/>
  <mergeCells count="35">
    <mergeCell ref="A28:A30"/>
    <mergeCell ref="B28:D30"/>
    <mergeCell ref="F30:H30"/>
    <mergeCell ref="A23:C23"/>
    <mergeCell ref="E23:G23"/>
    <mergeCell ref="A24:C24"/>
    <mergeCell ref="E24:G24"/>
    <mergeCell ref="B27:D27"/>
    <mergeCell ref="F27:H27"/>
    <mergeCell ref="A20:D20"/>
    <mergeCell ref="E20:H20"/>
    <mergeCell ref="A21:C21"/>
    <mergeCell ref="E21:G21"/>
    <mergeCell ref="A22:C22"/>
    <mergeCell ref="E22:G22"/>
    <mergeCell ref="A14:D14"/>
    <mergeCell ref="E14:H14"/>
    <mergeCell ref="A16:D16"/>
    <mergeCell ref="E16:H16"/>
    <mergeCell ref="A18:D18"/>
    <mergeCell ref="E18:H18"/>
    <mergeCell ref="A12:D12"/>
    <mergeCell ref="E12:H12"/>
    <mergeCell ref="E1:G1"/>
    <mergeCell ref="B3:D3"/>
    <mergeCell ref="F3:H3"/>
    <mergeCell ref="B4:D4"/>
    <mergeCell ref="F4:H4"/>
    <mergeCell ref="B5:D5"/>
    <mergeCell ref="F5:H5"/>
    <mergeCell ref="B6:D6"/>
    <mergeCell ref="F6:H6"/>
    <mergeCell ref="B7:D7"/>
    <mergeCell ref="F7:H7"/>
    <mergeCell ref="C9:D9"/>
  </mergeCells>
  <pageMargins left="0.70833333333333337" right="0.70833333333333337" top="0.74791666666666667" bottom="0.74791666666666667" header="0.51180555555555551" footer="0.51180555555555551"/>
  <pageSetup paperSize="9" firstPageNumber="0" orientation="portrait" horizontalDpi="300" verticalDpi="300"/>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13</vt:i4>
      </vt:variant>
    </vt:vector>
  </HeadingPairs>
  <TitlesOfParts>
    <vt:vector size="13" baseType="lpstr">
      <vt:lpstr>Algemeen</vt:lpstr>
      <vt:lpstr>Werkstaat 1</vt:lpstr>
      <vt:lpstr>Werkstaat 2</vt:lpstr>
      <vt:lpstr>Werkstaat 3</vt:lpstr>
      <vt:lpstr>Werkstaat 4</vt:lpstr>
      <vt:lpstr>Werkstaat 5</vt:lpstr>
      <vt:lpstr>Werkstaat 6</vt:lpstr>
      <vt:lpstr>Werkstaat 7</vt:lpstr>
      <vt:lpstr>Werkstaat 8</vt:lpstr>
      <vt:lpstr>Werkstaat 9</vt:lpstr>
      <vt:lpstr>Werkstaat 10</vt:lpstr>
      <vt:lpstr>Werkstaat 11</vt:lpstr>
      <vt:lpstr>Werkstaat 12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Visscher, Jan</dc:creator>
  <cp:lastModifiedBy>rick ambergen</cp:lastModifiedBy>
  <dcterms:created xsi:type="dcterms:W3CDTF">2014-08-28T16:57:12Z</dcterms:created>
  <dcterms:modified xsi:type="dcterms:W3CDTF">2024-07-12T00:53:51Z</dcterms:modified>
</cp:coreProperties>
</file>